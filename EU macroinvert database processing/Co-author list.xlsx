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5 - Data &amp; Maps\Senckenberg\EU macroinvert database processing\"/>
    </mc:Choice>
  </mc:AlternateContent>
  <xr:revisionPtr revIDLastSave="0" documentId="13_ncr:1_{6BD606E6-E08B-43E1-AFB2-6F80A7D8B0FE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-author names" sheetId="1" r:id="rId1"/>
  </sheets>
  <definedNames>
    <definedName name="_xlnm._FilterDatabase" localSheetId="0" hidden="1">'Co-author names'!$A$1:$AN$266</definedName>
  </definedNames>
  <calcPr calcId="191029"/>
</workbook>
</file>

<file path=xl/calcChain.xml><?xml version="1.0" encoding="utf-8"?>
<calcChain xmlns="http://schemas.openxmlformats.org/spreadsheetml/2006/main">
  <c r="J255" i="1" l="1"/>
  <c r="J254" i="1"/>
  <c r="J245" i="1" l="1"/>
  <c r="J241" i="1"/>
  <c r="J235" i="1"/>
  <c r="J225" i="1" l="1"/>
  <c r="J221" i="1" l="1"/>
  <c r="J220" i="1"/>
  <c r="J218" i="1"/>
  <c r="J209" i="1"/>
  <c r="J193" i="1"/>
  <c r="J191" i="1"/>
  <c r="J190" i="1"/>
  <c r="J189" i="1"/>
  <c r="J188" i="1"/>
  <c r="J187" i="1"/>
  <c r="J192" i="1"/>
  <c r="J186" i="1"/>
  <c r="J184" i="1"/>
  <c r="J172" i="1"/>
  <c r="J159" i="1" l="1"/>
  <c r="J158" i="1"/>
  <c r="J155" i="1"/>
  <c r="J154" i="1"/>
  <c r="J153" i="1"/>
  <c r="J152" i="1"/>
  <c r="J151" i="1"/>
  <c r="J125" i="1" l="1"/>
  <c r="J116" i="1"/>
  <c r="J115" i="1"/>
  <c r="J111" i="1" l="1"/>
  <c r="J110" i="1"/>
  <c r="J20" i="1"/>
  <c r="J76" i="1"/>
  <c r="J106" i="1"/>
  <c r="J249" i="1"/>
  <c r="J94" i="1"/>
  <c r="J84" i="1"/>
  <c r="J5" i="1"/>
  <c r="J81" i="1" l="1"/>
  <c r="J80" i="1"/>
  <c r="J72" i="1"/>
  <c r="J75" i="1"/>
  <c r="J74" i="1"/>
  <c r="J71" i="1"/>
  <c r="J60" i="1"/>
  <c r="J256" i="1" l="1"/>
  <c r="J253" i="1"/>
  <c r="J252" i="1"/>
  <c r="J251" i="1"/>
  <c r="J250" i="1"/>
  <c r="J248" i="1"/>
  <c r="J247" i="1"/>
  <c r="J246" i="1"/>
  <c r="J244" i="1"/>
  <c r="J243" i="1"/>
  <c r="J242" i="1"/>
  <c r="J240" i="1"/>
  <c r="J239" i="1"/>
  <c r="J238" i="1"/>
  <c r="J237" i="1"/>
  <c r="J236" i="1"/>
  <c r="J234" i="1"/>
  <c r="J233" i="1"/>
  <c r="J232" i="1"/>
  <c r="J231" i="1"/>
  <c r="J230" i="1"/>
  <c r="J229" i="1"/>
  <c r="J228" i="1"/>
  <c r="J227" i="1"/>
  <c r="J226" i="1"/>
  <c r="J224" i="1"/>
  <c r="J223" i="1"/>
  <c r="J222" i="1"/>
  <c r="J219" i="1"/>
  <c r="J217" i="1"/>
  <c r="J216" i="1"/>
  <c r="J215" i="1"/>
  <c r="J214" i="1"/>
  <c r="J213" i="1"/>
  <c r="J212" i="1"/>
  <c r="J211" i="1"/>
  <c r="J210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85" i="1"/>
  <c r="J183" i="1"/>
  <c r="J182" i="1"/>
  <c r="J181" i="1"/>
  <c r="J180" i="1"/>
  <c r="J179" i="1"/>
  <c r="J178" i="1"/>
  <c r="J177" i="1"/>
  <c r="J176" i="1"/>
  <c r="J175" i="1"/>
  <c r="J174" i="1"/>
  <c r="J173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7" i="1"/>
  <c r="J156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1" i="1"/>
  <c r="J130" i="1"/>
  <c r="J129" i="1"/>
  <c r="J128" i="1"/>
  <c r="J127" i="1"/>
  <c r="J126" i="1"/>
  <c r="J124" i="1"/>
  <c r="J123" i="1"/>
  <c r="J122" i="1"/>
  <c r="J121" i="1"/>
  <c r="J120" i="1"/>
  <c r="J119" i="1"/>
  <c r="J118" i="1"/>
  <c r="J117" i="1"/>
  <c r="J114" i="1"/>
  <c r="J113" i="1"/>
  <c r="J112" i="1"/>
  <c r="J109" i="1"/>
  <c r="J108" i="1"/>
  <c r="J107" i="1"/>
  <c r="J105" i="1"/>
  <c r="J104" i="1"/>
  <c r="J103" i="1"/>
  <c r="J102" i="1"/>
  <c r="J101" i="1"/>
  <c r="J100" i="1"/>
  <c r="J99" i="1"/>
  <c r="J98" i="1"/>
  <c r="J97" i="1"/>
  <c r="J96" i="1"/>
  <c r="J95" i="1"/>
  <c r="J93" i="1"/>
  <c r="J92" i="1"/>
  <c r="J91" i="1"/>
  <c r="J90" i="1"/>
  <c r="J89" i="1"/>
  <c r="J88" i="1"/>
  <c r="J85" i="1"/>
  <c r="J83" i="1"/>
  <c r="J82" i="1"/>
  <c r="J79" i="1"/>
  <c r="J78" i="1"/>
  <c r="J77" i="1"/>
  <c r="J73" i="1"/>
  <c r="J70" i="1"/>
  <c r="J69" i="1"/>
  <c r="J68" i="1"/>
  <c r="J67" i="1"/>
  <c r="J66" i="1"/>
  <c r="J65" i="1"/>
  <c r="J64" i="1"/>
  <c r="J63" i="1"/>
  <c r="J61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4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Sinclair</author>
  </authors>
  <commentList>
    <comment ref="M14" authorId="0" shapeId="0" xr:uid="{CA1CF1AD-BAE8-4A44-B826-A0972296FB1F}">
      <text>
        <r>
          <rPr>
            <b/>
            <sz val="9"/>
            <color indexed="81"/>
            <rFont val="Tahoma"/>
            <family val="2"/>
          </rPr>
          <t>James Sinclair:</t>
        </r>
        <r>
          <rPr>
            <sz val="9"/>
            <color indexed="81"/>
            <rFont val="Tahoma"/>
            <family val="2"/>
          </rPr>
          <t xml:space="preserve">
Dataset expanded to twice the number of sites</t>
        </r>
      </text>
    </comment>
    <comment ref="M17" authorId="0" shapeId="0" xr:uid="{94AE24A1-7903-4FC5-A6D9-78E71D8E0DB7}">
      <text>
        <r>
          <rPr>
            <b/>
            <sz val="9"/>
            <color indexed="81"/>
            <rFont val="Tahoma"/>
            <family val="2"/>
          </rPr>
          <t>James Sinclair:</t>
        </r>
        <r>
          <rPr>
            <sz val="9"/>
            <color indexed="81"/>
            <rFont val="Tahoma"/>
            <family val="2"/>
          </rPr>
          <t xml:space="preserve">
Dataset cannot be made publicly available</t>
        </r>
      </text>
    </comment>
    <comment ref="M18" authorId="0" shapeId="0" xr:uid="{9A1135EC-DB2C-4FBC-B9ED-CED9E119F80B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Updated w new years</t>
        </r>
      </text>
    </comment>
    <comment ref="I21" authorId="0" shapeId="0" xr:uid="{967C958B-21D6-4FEB-93AC-E8AD5EA78A0A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Institution must be acknowledged in any publication that uses this data</t>
        </r>
      </text>
    </comment>
    <comment ref="M36" authorId="0" shapeId="0" xr:uid="{B4CBD4D5-5CC7-48C0-809C-8978E6AA627C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Updated w new years</t>
        </r>
      </text>
    </comment>
    <comment ref="M56" authorId="0" shapeId="0" xr:uid="{23D62E58-D291-400E-9DEC-96FC97A6BCC2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Updated w new years for 2 sites</t>
        </r>
      </text>
    </comment>
    <comment ref="K72" authorId="0" shapeId="0" xr:uid="{44294676-EFEA-4131-B0A3-A91BB6962B1D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Only included as a co-author if the EQRs from this dataset are used</t>
        </r>
      </text>
    </comment>
    <comment ref="M73" authorId="0" shapeId="0" xr:uid="{7E02E9D6-ACE6-4D06-B1AC-3B447A4E6577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Only contributed to the sites w updated years</t>
        </r>
      </text>
    </comment>
    <comment ref="K81" authorId="0" shapeId="0" xr:uid="{D7D966C5-3676-4412-AE03-C37A8F86F86A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Only included as a co-author if the EQRs from this dataset are used</t>
        </r>
      </text>
    </comment>
    <comment ref="M83" authorId="0" shapeId="0" xr:uid="{DE713F86-C360-4FA2-BFD8-966ACF246D23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Updated w more sites and years</t>
        </r>
      </text>
    </comment>
    <comment ref="M85" authorId="0" shapeId="0" xr:uid="{AF8FFB35-A44C-4472-89FA-0754C6EFCC68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2 sites initially, 16 more added in a new dataset</t>
        </r>
      </text>
    </comment>
    <comment ref="M93" authorId="0" shapeId="0" xr:uid="{EE18DCDB-E588-410A-A59F-9E00649E13C6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Updated w more sites and years</t>
        </r>
      </text>
    </comment>
    <comment ref="M105" authorId="0" shapeId="0" xr:uid="{E5583FFC-DB3C-4767-A665-AC73D74879A5}">
      <text>
        <r>
          <rPr>
            <b/>
            <sz val="9"/>
            <color indexed="81"/>
            <rFont val="Tahoma"/>
            <family val="2"/>
          </rPr>
          <t>James Sinclair:</t>
        </r>
        <r>
          <rPr>
            <sz val="9"/>
            <color indexed="81"/>
            <rFont val="Tahoma"/>
            <family val="2"/>
          </rPr>
          <t xml:space="preserve">
Updated w new years to 2020</t>
        </r>
      </text>
    </comment>
    <comment ref="I126" authorId="0" shapeId="0" xr:uid="{3AC0E2F9-B186-4762-BEAA-3AE689569577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Institution must be acknowledged in any publication that uses this data</t>
        </r>
      </text>
    </comment>
    <comment ref="I127" authorId="0" shapeId="0" xr:uid="{F5921BF9-52F9-457E-B8D6-AAA0D6349BE8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Institution must be acknowledged in any publication that uses this data</t>
        </r>
      </text>
    </comment>
    <comment ref="I128" authorId="0" shapeId="0" xr:uid="{3715441C-9A45-450E-85AE-3F5767DD0E70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Institution must be acknowledged in any publication that uses this data</t>
        </r>
      </text>
    </comment>
    <comment ref="I129" authorId="0" shapeId="0" xr:uid="{20B9B594-C034-415A-BE2D-53F2A3411C2F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Institution must be acknowledged in any publication that uses this data</t>
        </r>
      </text>
    </comment>
    <comment ref="I130" authorId="0" shapeId="0" xr:uid="{58074B22-A09D-4391-935E-E365D10B0086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Institution must be acknowledged in any publication that uses this data</t>
        </r>
      </text>
    </comment>
    <comment ref="M131" authorId="0" shapeId="0" xr:uid="{078453DF-8B94-4DD9-9771-F549C6DA799B}">
      <text>
        <r>
          <rPr>
            <b/>
            <sz val="9"/>
            <color indexed="81"/>
            <rFont val="Tahoma"/>
            <family val="2"/>
          </rPr>
          <t>James Sinclair:</t>
        </r>
        <r>
          <rPr>
            <sz val="9"/>
            <color indexed="81"/>
            <rFont val="Tahoma"/>
            <family val="2"/>
          </rPr>
          <t xml:space="preserve">
Updated w more sites and years</t>
        </r>
      </text>
    </comment>
    <comment ref="M156" authorId="0" shapeId="0" xr:uid="{2F54B059-01A3-49A4-BFC2-EC379D1BC48A}">
      <text>
        <r>
          <rPr>
            <b/>
            <sz val="9"/>
            <color indexed="81"/>
            <rFont val="Tahoma"/>
            <family val="2"/>
          </rPr>
          <t>James Sinclair:</t>
        </r>
        <r>
          <rPr>
            <sz val="9"/>
            <color indexed="81"/>
            <rFont val="Tahoma"/>
            <family val="2"/>
          </rPr>
          <t xml:space="preserve">
Updated w new years to 2020</t>
        </r>
      </text>
    </comment>
    <comment ref="M164" authorId="0" shapeId="0" xr:uid="{D425211A-4F8F-4372-97C7-23B7F8B3C544}">
      <text>
        <r>
          <rPr>
            <b/>
            <sz val="9"/>
            <color indexed="81"/>
            <rFont val="Tahoma"/>
            <family val="2"/>
          </rPr>
          <t>James Sinclair:</t>
        </r>
        <r>
          <rPr>
            <sz val="9"/>
            <color indexed="81"/>
            <rFont val="Tahoma"/>
            <family val="2"/>
          </rPr>
          <t xml:space="preserve">
Dataset expanded to twice the number of sites</t>
        </r>
      </text>
    </comment>
    <comment ref="M166" authorId="0" shapeId="0" xr:uid="{03164D3A-804B-4CE0-806D-B0C9DCFF9A15}">
      <text>
        <r>
          <rPr>
            <b/>
            <sz val="9"/>
            <color indexed="81"/>
            <rFont val="Tahoma"/>
            <family val="2"/>
          </rPr>
          <t>James Sinclair:</t>
        </r>
        <r>
          <rPr>
            <sz val="9"/>
            <color indexed="81"/>
            <rFont val="Tahoma"/>
            <family val="2"/>
          </rPr>
          <t xml:space="preserve">
Updated w new years to 2020</t>
        </r>
      </text>
    </comment>
    <comment ref="M172" authorId="0" shapeId="0" xr:uid="{D9EBB0EC-BA3F-4189-932E-49992C20E538}">
      <text>
        <r>
          <rPr>
            <b/>
            <sz val="9"/>
            <color indexed="81"/>
            <rFont val="Tahoma"/>
            <family val="2"/>
          </rPr>
          <t>James Sinclair:</t>
        </r>
        <r>
          <rPr>
            <sz val="9"/>
            <color indexed="81"/>
            <rFont val="Tahoma"/>
            <family val="2"/>
          </rPr>
          <t xml:space="preserve">
Dataset cannot be made publicly available</t>
        </r>
      </text>
    </comment>
    <comment ref="M178" authorId="0" shapeId="0" xr:uid="{CA8F4F9D-B491-4D16-AE83-D0D33EC66916}">
      <text>
        <r>
          <rPr>
            <b/>
            <sz val="9"/>
            <color indexed="81"/>
            <rFont val="Tahoma"/>
            <family val="2"/>
          </rPr>
          <t>James Sinclair:</t>
        </r>
        <r>
          <rPr>
            <sz val="9"/>
            <color indexed="81"/>
            <rFont val="Tahoma"/>
            <family val="2"/>
          </rPr>
          <t xml:space="preserve">
Dataset cannot be made publicly available</t>
        </r>
      </text>
    </comment>
    <comment ref="H206" authorId="0" shapeId="0" xr:uid="{9CF09826-ECDC-4C22-82B4-A18BAD89982D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Consulting company, needs to be declared in conflict statement</t>
        </r>
      </text>
    </comment>
    <comment ref="M208" authorId="0" shapeId="0" xr:uid="{99F6C462-9226-4C76-AF3F-DCAD8A303F00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Updated w new years</t>
        </r>
      </text>
    </comment>
    <comment ref="M218" authorId="0" shapeId="0" xr:uid="{3EF36EC2-2025-457F-BB70-57FC236F23DA}">
      <text>
        <r>
          <rPr>
            <b/>
            <sz val="9"/>
            <color indexed="81"/>
            <rFont val="Tahoma"/>
            <family val="2"/>
          </rPr>
          <t>James Sinclair:</t>
        </r>
        <r>
          <rPr>
            <sz val="9"/>
            <color indexed="81"/>
            <rFont val="Tahoma"/>
            <family val="2"/>
          </rPr>
          <t xml:space="preserve">
Dataset cannot be made publicly available</t>
        </r>
      </text>
    </comment>
    <comment ref="M231" authorId="0" shapeId="0" xr:uid="{C7D277BA-5033-4915-BB57-87F2D2A08344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Updated w new years for 2 sites</t>
        </r>
      </text>
    </comment>
    <comment ref="M234" authorId="0" shapeId="0" xr:uid="{45E13E1B-755D-4418-A92B-4462929AB45B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Updated w more sites and years</t>
        </r>
      </text>
    </comment>
    <comment ref="M245" authorId="0" shapeId="0" xr:uid="{C4EE7924-0DCD-4B44-B5CB-D7C4E0B8DE34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Updated w new years</t>
        </r>
      </text>
    </comment>
    <comment ref="K254" authorId="0" shapeId="0" xr:uid="{C40E7F17-17AB-417B-83A0-B5B0C9D684D8}">
      <text>
        <r>
          <rPr>
            <b/>
            <sz val="9"/>
            <color indexed="81"/>
            <rFont val="Tahoma"/>
            <charset val="1"/>
          </rPr>
          <t>James Sinclair:</t>
        </r>
        <r>
          <rPr>
            <sz val="9"/>
            <color indexed="81"/>
            <rFont val="Tahoma"/>
            <charset val="1"/>
          </rPr>
          <t xml:space="preserve">
Only included as a co-author if the EQRs from this dataset are used</t>
        </r>
      </text>
    </comment>
  </commentList>
</comments>
</file>

<file path=xl/sharedStrings.xml><?xml version="1.0" encoding="utf-8"?>
<sst xmlns="http://schemas.openxmlformats.org/spreadsheetml/2006/main" count="7198" uniqueCount="1077">
  <si>
    <t>first</t>
  </si>
  <si>
    <t>middle</t>
  </si>
  <si>
    <t>last</t>
  </si>
  <si>
    <t>name</t>
  </si>
  <si>
    <t>email</t>
  </si>
  <si>
    <t>country</t>
  </si>
  <si>
    <t>Total_pub</t>
  </si>
  <si>
    <t>Mihai</t>
  </si>
  <si>
    <t>Adamescu</t>
  </si>
  <si>
    <t>Mihai Adamescu</t>
  </si>
  <si>
    <t>adacri@gmail.com</t>
  </si>
  <si>
    <t>Romania</t>
  </si>
  <si>
    <t>NA</t>
  </si>
  <si>
    <t>Florian</t>
  </si>
  <si>
    <t>Altermatt</t>
  </si>
  <si>
    <t>Florian Altermatt</t>
  </si>
  <si>
    <t>florian.altermatt@eawag.ch</t>
  </si>
  <si>
    <t>Switzerland</t>
  </si>
  <si>
    <t>Department of Evolutionary Biology and Environmental Studies, University of Zurich, Zürich 8057 Switzerland</t>
  </si>
  <si>
    <t>Department of Aquatic Ecology, Eawag: Swiss Federal Institute of Aquatic Science and Technology, Dübendorf 8600 Switzerland</t>
  </si>
  <si>
    <t>Antonio</t>
  </si>
  <si>
    <t>Andrade</t>
  </si>
  <si>
    <t>Antonio Andrade</t>
  </si>
  <si>
    <t>antonio.andrade@ofb.gouv.fr</t>
  </si>
  <si>
    <t>France</t>
  </si>
  <si>
    <t>Eddy Cosson</t>
  </si>
  <si>
    <t>David</t>
  </si>
  <si>
    <t>G.</t>
  </si>
  <si>
    <t>Angeler</t>
  </si>
  <si>
    <t>David Angeler</t>
  </si>
  <si>
    <t>David.Angeler@slu.se</t>
  </si>
  <si>
    <t>Sweden</t>
  </si>
  <si>
    <t>Richard Johnson</t>
  </si>
  <si>
    <t>Andres</t>
  </si>
  <si>
    <t>Peredo</t>
  </si>
  <si>
    <t>Arce</t>
  </si>
  <si>
    <t>Andres Peredo Arce</t>
  </si>
  <si>
    <t>andres.peredo@senckenberg.de</t>
  </si>
  <si>
    <t>Ireland</t>
  </si>
  <si>
    <t>Hugh B. Feeley</t>
  </si>
  <si>
    <t>Gaït</t>
  </si>
  <si>
    <t>Archambaud</t>
  </si>
  <si>
    <t>Gaït Archambaud</t>
  </si>
  <si>
    <t>gait.archambaud@irstea.fr</t>
  </si>
  <si>
    <t>Anthony Maire</t>
  </si>
  <si>
    <t>Jukka</t>
  </si>
  <si>
    <t>Aroviita</t>
  </si>
  <si>
    <t>Jukka Aroviita</t>
  </si>
  <si>
    <t>jukka.aroviita@syke.fi</t>
  </si>
  <si>
    <t>Finland</t>
  </si>
  <si>
    <t>Marine and Freshwater Solutions, Finnish Environment Institute, 90014 Oulu, Finland</t>
  </si>
  <si>
    <t>Alberto</t>
  </si>
  <si>
    <t>Manzanos</t>
  </si>
  <si>
    <t>Arraiz</t>
  </si>
  <si>
    <t>Alberto Manzanos Arraiz</t>
  </si>
  <si>
    <t>amanzanos@uragentzia.eus</t>
  </si>
  <si>
    <t>Spain</t>
  </si>
  <si>
    <t>Aitor Larrañaga</t>
  </si>
  <si>
    <t>Excluded from Haase et al. 2023, Welti et al. 2024, all data is now OA</t>
  </si>
  <si>
    <t>Thomas</t>
  </si>
  <si>
    <t>Aspin</t>
  </si>
  <si>
    <t>Thomas Aspin</t>
  </si>
  <si>
    <t>England</t>
  </si>
  <si>
    <t>Rachel Stubbington</t>
  </si>
  <si>
    <t>Knut</t>
  </si>
  <si>
    <t>A.</t>
  </si>
  <si>
    <t>Eikland</t>
  </si>
  <si>
    <t>Knut A. Eikland</t>
  </si>
  <si>
    <t>Norway</t>
  </si>
  <si>
    <t>Nathan</t>
  </si>
  <si>
    <t>J.</t>
  </si>
  <si>
    <t>Baker</t>
  </si>
  <si>
    <t>Nathan J. Baker</t>
  </si>
  <si>
    <t>nathan93baker@gmail.com</t>
  </si>
  <si>
    <t>Germany</t>
  </si>
  <si>
    <t>Institute of Ecology, Nature Research Centre, Akademijos str. 2, Vilnius 08412 Lithuania</t>
  </si>
  <si>
    <t>Wasserwirtschaftsamt Deggendorf (Contact person: Ursula Gschnaidner)</t>
  </si>
  <si>
    <t>Lithuania</t>
  </si>
  <si>
    <t>Sinclair et al. 2024 (eqrs)</t>
  </si>
  <si>
    <t>Poland</t>
  </si>
  <si>
    <t>Halabowski</t>
  </si>
  <si>
    <t>New dataset</t>
  </si>
  <si>
    <t>Iñaki</t>
  </si>
  <si>
    <t>Bañares</t>
  </si>
  <si>
    <t>Iñaki Bañares</t>
  </si>
  <si>
    <t>ibanares@gipuzkoa.eus</t>
  </si>
  <si>
    <t>Libuše</t>
  </si>
  <si>
    <t>Barešová</t>
  </si>
  <si>
    <t>Libuše Barešová</t>
  </si>
  <si>
    <t>libuse.baresova@chmi.cz</t>
  </si>
  <si>
    <t>Czech Republic</t>
  </si>
  <si>
    <t>Czech Hydrometeorological Institute, Praha 143 06 Czech Republic</t>
  </si>
  <si>
    <t>Petr Paril</t>
  </si>
  <si>
    <t>Sinclair et al. 2024 (eqrs), Sinclair et al. 2024 (traits)</t>
  </si>
  <si>
    <t>Jose</t>
  </si>
  <si>
    <t>Barquín</t>
  </si>
  <si>
    <t>Jose Barquín</t>
  </si>
  <si>
    <t>jose.barquin@unican.es</t>
  </si>
  <si>
    <t>IHCantabria - Instituto de Hidráulica Ambiental de la Universidad de Cantabria, Santander, PCTCAN, C/ Isabel Torres, 15, 39011 Spain</t>
  </si>
  <si>
    <t>Bayerisches Landesamt für Umwelt (LfU)</t>
  </si>
  <si>
    <t>Ariane Moulinec</t>
  </si>
  <si>
    <t>Cathy</t>
  </si>
  <si>
    <t>Bennett</t>
  </si>
  <si>
    <t>Cathy Bennett</t>
  </si>
  <si>
    <t>cathy.bennett@sepa.org.uk</t>
  </si>
  <si>
    <t>Scotland</t>
  </si>
  <si>
    <t>No EQRs yet, being recovered from a data hack</t>
  </si>
  <si>
    <t>Jacqueline</t>
  </si>
  <si>
    <t>Bernet</t>
  </si>
  <si>
    <t>Jacqueline Bernet</t>
  </si>
  <si>
    <t>jacqueline.bernet@lfu.landsh.de</t>
  </si>
  <si>
    <t>Angela</t>
  </si>
  <si>
    <t>Boggero</t>
  </si>
  <si>
    <t>Angela Boggero</t>
  </si>
  <si>
    <t>angela.boggero@cnr.it</t>
  </si>
  <si>
    <t>Italy</t>
  </si>
  <si>
    <t>Luca</t>
  </si>
  <si>
    <t>Bonacina</t>
  </si>
  <si>
    <t>Luca Bonacina</t>
  </si>
  <si>
    <t>l.bonacina9@campus.unimib.it</t>
  </si>
  <si>
    <t>Núria</t>
  </si>
  <si>
    <t>Bonada</t>
  </si>
  <si>
    <t>Núria Bonada</t>
  </si>
  <si>
    <t>bonada@ub.edu</t>
  </si>
  <si>
    <t>Miguel Cañedo-Argüelles</t>
  </si>
  <si>
    <t>Terje</t>
  </si>
  <si>
    <t>Bongard</t>
  </si>
  <si>
    <t>Terje Bongard</t>
  </si>
  <si>
    <t>Terje.Bongard@nina.no</t>
  </si>
  <si>
    <t>Borgwardt</t>
  </si>
  <si>
    <t>Florian Borgwardt</t>
  </si>
  <si>
    <t>florian.borgwardt@boku.ac.at</t>
  </si>
  <si>
    <t>Austria</t>
  </si>
  <si>
    <t>Roberta</t>
  </si>
  <si>
    <t>Bottarin</t>
  </si>
  <si>
    <t>Roberta Bottarin</t>
  </si>
  <si>
    <t>Roberta.Bottarin@eurac.edu</t>
  </si>
  <si>
    <t>Alberto Scotti</t>
  </si>
  <si>
    <t>Julien</t>
  </si>
  <si>
    <t>Bouchard</t>
  </si>
  <si>
    <t>Julien Bouchard</t>
  </si>
  <si>
    <t>julien.bouchard@ofb.gouv.fr</t>
  </si>
  <si>
    <t>Catherine</t>
  </si>
  <si>
    <t>Bradley</t>
  </si>
  <si>
    <t>Catherine Bradley</t>
  </si>
  <si>
    <t>c.bradley@epa.ie</t>
  </si>
  <si>
    <t>Miguel</t>
  </si>
  <si>
    <t>Ángel</t>
  </si>
  <si>
    <t>Bravo-Utrera</t>
  </si>
  <si>
    <t>Miguel Ángel Bravo-Utrera</t>
  </si>
  <si>
    <t>miguel.bravo@juntadeandalucia.es</t>
  </si>
  <si>
    <t>Rob</t>
  </si>
  <si>
    <t>Briers</t>
  </si>
  <si>
    <t>Rob Briers</t>
  </si>
  <si>
    <t>r.briers@napier.ac.uk</t>
  </si>
  <si>
    <t>Mario</t>
  </si>
  <si>
    <t>mario.alvarez@unican.es</t>
  </si>
  <si>
    <t>Cañedo-Argüelles</t>
  </si>
  <si>
    <t>mcanedo.fem@gmail.com</t>
  </si>
  <si>
    <t>Carlos</t>
  </si>
  <si>
    <t>Cano-Barbacil</t>
  </si>
  <si>
    <t>Carlos Cano-Barbacil</t>
  </si>
  <si>
    <t>Georges</t>
  </si>
  <si>
    <t>Carrel</t>
  </si>
  <si>
    <t>Georges Carrel</t>
  </si>
  <si>
    <t>Laurence</t>
  </si>
  <si>
    <t>Carvalho</t>
  </si>
  <si>
    <t>Laurence Carvalho</t>
  </si>
  <si>
    <t>Dubravka</t>
  </si>
  <si>
    <t>Maxime</t>
  </si>
  <si>
    <t>Chevre</t>
  </si>
  <si>
    <t>Maxime Chevre</t>
  </si>
  <si>
    <t>Eddy</t>
  </si>
  <si>
    <t>Cosson</t>
  </si>
  <si>
    <t>eddy.cosson@ofb.gouv.fr</t>
  </si>
  <si>
    <t>Department for Water and Aquatic Ecosystems, French Biodiversity Agency, 94300 Vincennes, France</t>
  </si>
  <si>
    <t>Zoltan</t>
  </si>
  <si>
    <t>Csabai</t>
  </si>
  <si>
    <t>Zoltan Csabai</t>
  </si>
  <si>
    <t>Cunillera-Montcusí</t>
  </si>
  <si>
    <t>David Cunillera-Montcusí</t>
  </si>
  <si>
    <t>István</t>
  </si>
  <si>
    <t>Czeglédi</t>
  </si>
  <si>
    <t>István Czeglédi</t>
  </si>
  <si>
    <t>Thibault</t>
  </si>
  <si>
    <t>Datry</t>
  </si>
  <si>
    <t>Thibault Datry</t>
  </si>
  <si>
    <t>Ozolins</t>
  </si>
  <si>
    <t>Davis</t>
  </si>
  <si>
    <t>Ozolins Davis</t>
  </si>
  <si>
    <t>Elvira</t>
  </si>
  <si>
    <t>de Eyto</t>
  </si>
  <si>
    <t>Elvira de Eyto</t>
  </si>
  <si>
    <t>Samuel</t>
  </si>
  <si>
    <t>Dembski</t>
  </si>
  <si>
    <t>Samuel Dembski</t>
  </si>
  <si>
    <t>Ricardo</t>
  </si>
  <si>
    <t>Díaz-Delgado</t>
  </si>
  <si>
    <t>Ricardo Díaz-Delgado</t>
  </si>
  <si>
    <t>Ignacio</t>
  </si>
  <si>
    <t>Doadrio</t>
  </si>
  <si>
    <t>Ignacio Doadrio</t>
  </si>
  <si>
    <t>Alain</t>
  </si>
  <si>
    <t>Dohet</t>
  </si>
  <si>
    <t>Alain Dohet</t>
  </si>
  <si>
    <t>Gerald</t>
  </si>
  <si>
    <t>Dörflinger</t>
  </si>
  <si>
    <t>Gerald Dörflinger</t>
  </si>
  <si>
    <t>Emma</t>
  </si>
  <si>
    <t>Drohan</t>
  </si>
  <si>
    <t>Emma Drohan</t>
  </si>
  <si>
    <t>Emília</t>
  </si>
  <si>
    <t>Mišíková</t>
  </si>
  <si>
    <t>Elexová</t>
  </si>
  <si>
    <t>Emília Mišíková Elexová</t>
  </si>
  <si>
    <t>Judy</t>
  </si>
  <si>
    <t>Judy England</t>
  </si>
  <si>
    <t>Tor</t>
  </si>
  <si>
    <t>Eriksen</t>
  </si>
  <si>
    <t>Tibor</t>
  </si>
  <si>
    <t>Rémi</t>
  </si>
  <si>
    <t>Escaffre</t>
  </si>
  <si>
    <t>Rémi Escaffre</t>
  </si>
  <si>
    <t>Vesela</t>
  </si>
  <si>
    <t>Evtimova</t>
  </si>
  <si>
    <t>Vesela Evtimova</t>
  </si>
  <si>
    <t>António</t>
  </si>
  <si>
    <t>Faro</t>
  </si>
  <si>
    <t>António Faro</t>
  </si>
  <si>
    <t>Hugh</t>
  </si>
  <si>
    <t>B.</t>
  </si>
  <si>
    <t>Feeley</t>
  </si>
  <si>
    <t>Maria</t>
  </si>
  <si>
    <t>Feio</t>
  </si>
  <si>
    <t>Maria J. Feio</t>
  </si>
  <si>
    <t>Teresa</t>
  </si>
  <si>
    <t>Ferreira</t>
  </si>
  <si>
    <t>Teresa Ferreira</t>
  </si>
  <si>
    <t>Martial</t>
  </si>
  <si>
    <t>Alexia</t>
  </si>
  <si>
    <t>Carole</t>
  </si>
  <si>
    <t>Fitzpatrick</t>
  </si>
  <si>
    <t>Carole Fitzpatrick</t>
  </si>
  <si>
    <t>Flor</t>
  </si>
  <si>
    <t>Núria Flor</t>
  </si>
  <si>
    <t>Mathieu</t>
  </si>
  <si>
    <t>Floury</t>
  </si>
  <si>
    <t>Mathieu Floury</t>
  </si>
  <si>
    <t>Maxence</t>
  </si>
  <si>
    <t>Forcellini</t>
  </si>
  <si>
    <t>Maxence Forcellini</t>
  </si>
  <si>
    <t>Marie</t>
  </si>
  <si>
    <t>A. E.</t>
  </si>
  <si>
    <t>Forio</t>
  </si>
  <si>
    <t>Marie A. E. Forio</t>
  </si>
  <si>
    <t>Riccardo</t>
  </si>
  <si>
    <t>Fornaroli</t>
  </si>
  <si>
    <t>Riccardo Fornaroli</t>
  </si>
  <si>
    <t>French biodiversity agency and other agentcies (via Remi Escaffe)</t>
  </si>
  <si>
    <t>Nikolai</t>
  </si>
  <si>
    <t>Friberg</t>
  </si>
  <si>
    <t>Nikolai Friberg</t>
  </si>
  <si>
    <t>Jean-François</t>
  </si>
  <si>
    <t>Fruget</t>
  </si>
  <si>
    <t>Jean-François Fruget</t>
  </si>
  <si>
    <t>Emili</t>
  </si>
  <si>
    <t>García-Berthou</t>
  </si>
  <si>
    <t>Emili García-Berthou</t>
  </si>
  <si>
    <t>Georgieva</t>
  </si>
  <si>
    <t>Peter</t>
  </si>
  <si>
    <t>Goethals</t>
  </si>
  <si>
    <t>Peter Goethals</t>
  </si>
  <si>
    <t>Gómez-Serrano</t>
  </si>
  <si>
    <t>Miguel Ángel Gómez-Serrano</t>
  </si>
  <si>
    <t>Manuel</t>
  </si>
  <si>
    <t>A. S.</t>
  </si>
  <si>
    <t>Graça</t>
  </si>
  <si>
    <t>Manuel A. S. Graça</t>
  </si>
  <si>
    <t>Granados</t>
  </si>
  <si>
    <t>Ignacio Granados</t>
  </si>
  <si>
    <t>Haase</t>
  </si>
  <si>
    <t>Peter Haase</t>
  </si>
  <si>
    <t>Dariusz</t>
  </si>
  <si>
    <t>Dariusz Halabowski</t>
  </si>
  <si>
    <t>Trygve</t>
  </si>
  <si>
    <t>Hesthagen</t>
  </si>
  <si>
    <t>Trygve Hesthagen</t>
  </si>
  <si>
    <t>Sabine</t>
  </si>
  <si>
    <t>Hilt</t>
  </si>
  <si>
    <t>Sabine Hilt</t>
  </si>
  <si>
    <t>Kerstin</t>
  </si>
  <si>
    <t>Holmgren</t>
  </si>
  <si>
    <t>Kerstin Holmgren</t>
  </si>
  <si>
    <t>Hoogheemraadschap van Delfland</t>
  </si>
  <si>
    <t>Andy</t>
  </si>
  <si>
    <t>House</t>
  </si>
  <si>
    <t>Andy House</t>
  </si>
  <si>
    <t>Kaisa-Leena</t>
  </si>
  <si>
    <t>Huttunen</t>
  </si>
  <si>
    <t>Kaisa-Leena Huttunen</t>
  </si>
  <si>
    <t>Instituto de Hidráulica Ambiental de la Universidad de Cantabria</t>
  </si>
  <si>
    <t>Gaelle</t>
  </si>
  <si>
    <t>Jardin</t>
  </si>
  <si>
    <t>Gaelle Jardin</t>
  </si>
  <si>
    <t>Jensen</t>
  </si>
  <si>
    <t>Marthe</t>
  </si>
  <si>
    <t>Torun Solhaug</t>
  </si>
  <si>
    <t>Jenssen</t>
  </si>
  <si>
    <t>Marthe Torun Solhaug Jenssen</t>
  </si>
  <si>
    <t>Richard</t>
  </si>
  <si>
    <t>Johnson</t>
  </si>
  <si>
    <t>Iwan</t>
  </si>
  <si>
    <t>Jones</t>
  </si>
  <si>
    <t>Arrate</t>
  </si>
  <si>
    <t>Jorrín</t>
  </si>
  <si>
    <t>Iñaki Arrate Jorrín</t>
  </si>
  <si>
    <t>Kilian</t>
  </si>
  <si>
    <t>Junker</t>
  </si>
  <si>
    <t>Kilian Junker</t>
  </si>
  <si>
    <t>Jonathan</t>
  </si>
  <si>
    <t>Jupke</t>
  </si>
  <si>
    <t>Jonathan Jupke</t>
  </si>
  <si>
    <t>Eleni</t>
  </si>
  <si>
    <t>Kalogianni</t>
  </si>
  <si>
    <t>Eleni Kalogianni</t>
  </si>
  <si>
    <t>Ioannis</t>
  </si>
  <si>
    <t>Karaouzas</t>
  </si>
  <si>
    <t>Ioannis Karaouzas</t>
  </si>
  <si>
    <t>Nicholas</t>
  </si>
  <si>
    <t>Koutsikos</t>
  </si>
  <si>
    <t>Nicholas Koutsikos</t>
  </si>
  <si>
    <t>Lenka</t>
  </si>
  <si>
    <t>Kuglerová</t>
  </si>
  <si>
    <t>Lenka Kuglerová</t>
  </si>
  <si>
    <t>Alex</t>
  </si>
  <si>
    <t>Laini</t>
  </si>
  <si>
    <t>Alex Laini</t>
  </si>
  <si>
    <t>Landesamt für Natur, Umwelt und Klima Nordrhein-Westfalen (LANUK)</t>
  </si>
  <si>
    <t>Landesamt für Umwelt (Schleswig-Holstein) (LfU)</t>
  </si>
  <si>
    <t>Landesamt für Umwelt Brandenburg (LfU)</t>
  </si>
  <si>
    <t>Landesamt für Umwelt, Landwirtschaft und Geologie (LfULG), Sachsen</t>
  </si>
  <si>
    <t>Landesamt für Umweltschutz (Sachsen-Anhalt) (LAU)</t>
  </si>
  <si>
    <t>Aitor</t>
  </si>
  <si>
    <t>Larrañaga</t>
  </si>
  <si>
    <t>aitor.larranagaa@ehu.eus</t>
  </si>
  <si>
    <t>Department of Plant Biology and Ecology, University of the Basque Country, Leioa, Spain</t>
  </si>
  <si>
    <t>Lecuona</t>
  </si>
  <si>
    <t>Aitor Lecuona</t>
  </si>
  <si>
    <t>Patrick</t>
  </si>
  <si>
    <t>Leitner</t>
  </si>
  <si>
    <t>Patrick Leitner</t>
  </si>
  <si>
    <t>Margita</t>
  </si>
  <si>
    <t>Lionel</t>
  </si>
  <si>
    <t>L'Hoste</t>
  </si>
  <si>
    <t>Lionel L'Hoste</t>
  </si>
  <si>
    <t>Marie-Helène</t>
  </si>
  <si>
    <t>Lizée</t>
  </si>
  <si>
    <t>Marie-Helène Lizée</t>
  </si>
  <si>
    <t>Alfredo</t>
  </si>
  <si>
    <t>Llorente</t>
  </si>
  <si>
    <t>Alfredo Llorente</t>
  </si>
  <si>
    <t>Armin</t>
  </si>
  <si>
    <t>Lorenz</t>
  </si>
  <si>
    <t>Armin Lorenz</t>
  </si>
  <si>
    <t>Helle</t>
  </si>
  <si>
    <t>Mäemets</t>
  </si>
  <si>
    <t>Helle Mäemets</t>
  </si>
  <si>
    <t>Anthony</t>
  </si>
  <si>
    <t>Maire</t>
  </si>
  <si>
    <t>Sébastien</t>
  </si>
  <si>
    <t>Manne</t>
  </si>
  <si>
    <t>Sébastien Manne</t>
  </si>
  <si>
    <t>Rocío</t>
  </si>
  <si>
    <t>Márquez-Ferrando</t>
  </si>
  <si>
    <t>Rocío Márquez-Ferrando</t>
  </si>
  <si>
    <t>Filipe</t>
  </si>
  <si>
    <t>Martinho</t>
  </si>
  <si>
    <t>Filipe Martinho</t>
  </si>
  <si>
    <t>Brendan</t>
  </si>
  <si>
    <t>McKie</t>
  </si>
  <si>
    <t>Brendan G. McKie</t>
  </si>
  <si>
    <t>Mehner</t>
  </si>
  <si>
    <t>Thomas Mehner</t>
  </si>
  <si>
    <t>Iñigo</t>
  </si>
  <si>
    <t>Mendiola</t>
  </si>
  <si>
    <t>Iñigo Mendiola</t>
  </si>
  <si>
    <t>Rafael</t>
  </si>
  <si>
    <t>Miranda</t>
  </si>
  <si>
    <t>Rafael Miranda</t>
  </si>
  <si>
    <t>Don</t>
  </si>
  <si>
    <t>Monteith</t>
  </si>
  <si>
    <t>Don Monteith</t>
  </si>
  <si>
    <t>Ariane</t>
  </si>
  <si>
    <t>Moulinec</t>
  </si>
  <si>
    <t>ari.moulinec@gmail.com</t>
  </si>
  <si>
    <t>Timo</t>
  </si>
  <si>
    <t>Muotka</t>
  </si>
  <si>
    <t>Timo Muotka</t>
  </si>
  <si>
    <t>John</t>
  </si>
  <si>
    <t>F.</t>
  </si>
  <si>
    <t>Murphy</t>
  </si>
  <si>
    <t>John F. Murphy</t>
  </si>
  <si>
    <t>Marius</t>
  </si>
  <si>
    <t>Myrvold</t>
  </si>
  <si>
    <t>Knut Marius Myrvold</t>
  </si>
  <si>
    <t>Nunn</t>
  </si>
  <si>
    <t>Andy Nunn</t>
  </si>
  <si>
    <t>Anthi</t>
  </si>
  <si>
    <t>Oikonomou</t>
  </si>
  <si>
    <t>Anthi Oikonomou</t>
  </si>
  <si>
    <t>Francisco</t>
  </si>
  <si>
    <t>José</t>
  </si>
  <si>
    <t>Oliva-Paterna</t>
  </si>
  <si>
    <t>Francisco José Oliva-Paterna</t>
  </si>
  <si>
    <t>Diana</t>
  </si>
  <si>
    <t>Javier</t>
  </si>
  <si>
    <t>Oscoz</t>
  </si>
  <si>
    <t>Javier Oscoz</t>
  </si>
  <si>
    <t>Riku</t>
  </si>
  <si>
    <t xml:space="preserve">Paavola </t>
  </si>
  <si>
    <t xml:space="preserve">Riku Paavola </t>
  </si>
  <si>
    <t>Kadi</t>
  </si>
  <si>
    <t>Palmik-Das</t>
  </si>
  <si>
    <t>Kadi Palmik-Das</t>
  </si>
  <si>
    <t>Piotr</t>
  </si>
  <si>
    <t>Panek</t>
  </si>
  <si>
    <t>Piotr Panek</t>
  </si>
  <si>
    <t>Eva</t>
  </si>
  <si>
    <t>Papastergiadou</t>
  </si>
  <si>
    <t>Eva Papastergiadou</t>
  </si>
  <si>
    <t>Pardal</t>
  </si>
  <si>
    <t>Miguel Pardal</t>
  </si>
  <si>
    <t>Petr</t>
  </si>
  <si>
    <t>Paril</t>
  </si>
  <si>
    <t>Silvia</t>
  </si>
  <si>
    <t>Perea</t>
  </si>
  <si>
    <t>Silvia Perea</t>
  </si>
  <si>
    <t>Jonas</t>
  </si>
  <si>
    <t>Persson</t>
  </si>
  <si>
    <t>Jonas Persson</t>
  </si>
  <si>
    <t>Jeremy</t>
  </si>
  <si>
    <t>Piffady</t>
  </si>
  <si>
    <t>Jeremy Piffady</t>
  </si>
  <si>
    <t>Francesca</t>
  </si>
  <si>
    <t>Pilotto</t>
  </si>
  <si>
    <t>Francesca Pilotto</t>
  </si>
  <si>
    <t>Marina</t>
  </si>
  <si>
    <t>Piria</t>
  </si>
  <si>
    <t>Marina Piria</t>
  </si>
  <si>
    <t>Marek</t>
  </si>
  <si>
    <t>Polášek</t>
  </si>
  <si>
    <t>Marek Polášek</t>
  </si>
  <si>
    <t>Pollard</t>
  </si>
  <si>
    <t>Peter Pollard</t>
  </si>
  <si>
    <t>Guillermo</t>
  </si>
  <si>
    <t>Quevedo</t>
  </si>
  <si>
    <t>Guillermo Quevedo</t>
  </si>
  <si>
    <t>Ernst</t>
  </si>
  <si>
    <t>Raaphorst</t>
  </si>
  <si>
    <t>Ernst Raaphorst</t>
  </si>
  <si>
    <t>Tudor</t>
  </si>
  <si>
    <t>Racoviceanu</t>
  </si>
  <si>
    <t>Tudor Racoviceanu</t>
  </si>
  <si>
    <t>Jes</t>
  </si>
  <si>
    <t>Rasmussen</t>
  </si>
  <si>
    <t>Jes J. Rasmussen</t>
  </si>
  <si>
    <t>RivFishTIME</t>
  </si>
  <si>
    <t xml:space="preserve"> RivFishTIME</t>
  </si>
  <si>
    <t>Barbieri</t>
  </si>
  <si>
    <t>Barbieri Roberta</t>
  </si>
  <si>
    <t>Christopher</t>
  </si>
  <si>
    <t>Robinson</t>
  </si>
  <si>
    <t>Christopher Robinson</t>
  </si>
  <si>
    <t>Katharina</t>
  </si>
  <si>
    <t>Roczen</t>
  </si>
  <si>
    <t>Katharina Roczen</t>
  </si>
  <si>
    <t>Rubio</t>
  </si>
  <si>
    <t>Ángel Rubio</t>
  </si>
  <si>
    <t>Randi</t>
  </si>
  <si>
    <t>Saksgård</t>
  </si>
  <si>
    <t>Randi J. Saksgård</t>
  </si>
  <si>
    <t>Andrés</t>
  </si>
  <si>
    <t>Millán</t>
  </si>
  <si>
    <t>Leonard</t>
  </si>
  <si>
    <t>Sandin</t>
  </si>
  <si>
    <t>Leonard Sandin</t>
  </si>
  <si>
    <t>Ralf</t>
  </si>
  <si>
    <t>Schäfer</t>
  </si>
  <si>
    <t>Ralf B. Schäfer</t>
  </si>
  <si>
    <t>Astrid</t>
  </si>
  <si>
    <t>Schmitt-Kloiber</t>
  </si>
  <si>
    <t>Astrid Schmitt-Kloiber</t>
  </si>
  <si>
    <t>Nele</t>
  </si>
  <si>
    <t>Schuwirth</t>
  </si>
  <si>
    <t>Nele Schuwirth</t>
  </si>
  <si>
    <t>Scotti</t>
  </si>
  <si>
    <t>Carina</t>
  </si>
  <si>
    <t>Seliger</t>
  </si>
  <si>
    <t>Carina Seliger</t>
  </si>
  <si>
    <t>James</t>
  </si>
  <si>
    <t>S.</t>
  </si>
  <si>
    <t>Sinclair</t>
  </si>
  <si>
    <t>James S. Sinclair</t>
  </si>
  <si>
    <t>Agnija</t>
  </si>
  <si>
    <t>Skuja</t>
  </si>
  <si>
    <t>Agnija Skuja</t>
  </si>
  <si>
    <t>State data</t>
  </si>
  <si>
    <t>Konstantinos</t>
  </si>
  <si>
    <t>Stefanidis</t>
  </si>
  <si>
    <t>Konstantinos Stefanidis</t>
  </si>
  <si>
    <t>Stefan</t>
  </si>
  <si>
    <t>Stoll</t>
  </si>
  <si>
    <t>Stefan Stoll</t>
  </si>
  <si>
    <t>Stoumboudi</t>
  </si>
  <si>
    <t>Maria Stoumboudi</t>
  </si>
  <si>
    <t>Michal</t>
  </si>
  <si>
    <t>Straka</t>
  </si>
  <si>
    <t>Michal Straka</t>
  </si>
  <si>
    <t>Rachel</t>
  </si>
  <si>
    <t>Stubbington</t>
  </si>
  <si>
    <t>Tapio</t>
  </si>
  <si>
    <t>Sutela</t>
  </si>
  <si>
    <t>Tapio Sutela</t>
  </si>
  <si>
    <t>Péter</t>
  </si>
  <si>
    <t>Takács</t>
  </si>
  <si>
    <t>Péter Takács</t>
  </si>
  <si>
    <t>Kirstine</t>
  </si>
  <si>
    <t>Thiemer</t>
  </si>
  <si>
    <t>Kirstine Thiemer</t>
  </si>
  <si>
    <t>Henn</t>
  </si>
  <si>
    <t>Timm</t>
  </si>
  <si>
    <t>Henn Timm</t>
  </si>
  <si>
    <t>M.</t>
  </si>
  <si>
    <t>Tonstad</t>
  </si>
  <si>
    <t>Astrid M. Tonstad</t>
  </si>
  <si>
    <t>Mar</t>
  </si>
  <si>
    <t>Torralva</t>
  </si>
  <si>
    <t>Mar Torralva</t>
  </si>
  <si>
    <t>Jarno</t>
  </si>
  <si>
    <t>Turunen</t>
  </si>
  <si>
    <t>Jarno Turunen</t>
  </si>
  <si>
    <t>Violeta</t>
  </si>
  <si>
    <t>Tyufekchieva</t>
  </si>
  <si>
    <t>Violeta Tyufekchieva</t>
  </si>
  <si>
    <t>Iakovos</t>
  </si>
  <si>
    <t>Tziortzis</t>
  </si>
  <si>
    <t>Iakovos Tziortzis</t>
  </si>
  <si>
    <t>Yordan</t>
  </si>
  <si>
    <t>Uzunov</t>
  </si>
  <si>
    <t>Yordan Uzunov</t>
  </si>
  <si>
    <t>Gea</t>
  </si>
  <si>
    <t>van der Lee</t>
  </si>
  <si>
    <t>Rudy</t>
  </si>
  <si>
    <t>Vannevel</t>
  </si>
  <si>
    <t>Rudy Vannevel</t>
  </si>
  <si>
    <t>Emilia</t>
  </si>
  <si>
    <t>Varadinova</t>
  </si>
  <si>
    <t>Emilia Varadinova</t>
  </si>
  <si>
    <t>Gábor</t>
  </si>
  <si>
    <t>Várbíró</t>
  </si>
  <si>
    <t>Gábor Várbíró</t>
  </si>
  <si>
    <t>Leonidas</t>
  </si>
  <si>
    <t>Vardakas</t>
  </si>
  <si>
    <t>Leonidas Vardakas</t>
  </si>
  <si>
    <t>Teppo</t>
  </si>
  <si>
    <t>Vehanen</t>
  </si>
  <si>
    <t>Teppo Vehanen</t>
  </si>
  <si>
    <t>Gaute</t>
  </si>
  <si>
    <t>Velle</t>
  </si>
  <si>
    <t>Gaute Velle</t>
  </si>
  <si>
    <t>Piet</t>
  </si>
  <si>
    <t>Verdonschot</t>
  </si>
  <si>
    <t>Ralf Verdonschot</t>
  </si>
  <si>
    <t>Yanka</t>
  </si>
  <si>
    <t>Vidinova</t>
  </si>
  <si>
    <t>Yanka Vidinova</t>
  </si>
  <si>
    <t>Alejandra</t>
  </si>
  <si>
    <t>Goldenberg</t>
  </si>
  <si>
    <t>Vilar</t>
  </si>
  <si>
    <t>Alejandra Goldenberg Vilar</t>
  </si>
  <si>
    <t>Tomas</t>
  </si>
  <si>
    <t>Virbickas</t>
  </si>
  <si>
    <t>Tomas Virbickas</t>
  </si>
  <si>
    <t>Wanke</t>
  </si>
  <si>
    <t>Thomas Wanke</t>
  </si>
  <si>
    <t>Wiberg-Larsen</t>
  </si>
  <si>
    <t>Peter Wiberg-Larsen</t>
  </si>
  <si>
    <t>Yael</t>
  </si>
  <si>
    <t>Schindler</t>
  </si>
  <si>
    <t>Wildhaber</t>
  </si>
  <si>
    <t>Yael Schindler Wildhaber</t>
  </si>
  <si>
    <t>Martin</t>
  </si>
  <si>
    <t>Wilkes</t>
  </si>
  <si>
    <t>Martin Wilkes</t>
  </si>
  <si>
    <t>Christian</t>
  </si>
  <si>
    <t>Wolter</t>
  </si>
  <si>
    <t>Christian Wolter</t>
  </si>
  <si>
    <t>Zamora-Marin</t>
  </si>
  <si>
    <t>Jose Manuel Zamora-Marin</t>
  </si>
  <si>
    <t>ROU_063_MZB_LE.csv</t>
  </si>
  <si>
    <t>CHE_040_MZB_LO.csv</t>
  </si>
  <si>
    <t>SWE_038_MZB_LO.csv</t>
  </si>
  <si>
    <t>IRL_051_MZB_LO.csv</t>
  </si>
  <si>
    <t>FRA_015_MZB_LO.csv</t>
  </si>
  <si>
    <t>ESP_034_MZB_LO.csv</t>
  </si>
  <si>
    <t>ESP_034_MP_LO.csv</t>
  </si>
  <si>
    <t>ENG_044_MZB_LO.csv</t>
  </si>
  <si>
    <t>NOR_030_MZB_LO.csv</t>
  </si>
  <si>
    <t>GER_021_MZB_LO.csv</t>
  </si>
  <si>
    <t>LTU_053_MZB_LO.csv</t>
  </si>
  <si>
    <t>LTU_087_FI_LO.csv</t>
  </si>
  <si>
    <t>POL_057_MZB_LO.csv</t>
  </si>
  <si>
    <t>ESP_034_FI_LO.csv</t>
  </si>
  <si>
    <t>CZE_003_MZB_LO.csv</t>
  </si>
  <si>
    <t>CZE_060_MP_LO.csv</t>
  </si>
  <si>
    <t>CZE_010_FI_LO.csv</t>
  </si>
  <si>
    <t>ESP_036_MZB_LO1.csv</t>
  </si>
  <si>
    <t>ESP_036_MZB_LO2.csv</t>
  </si>
  <si>
    <t>GER_050_MZB_LO.csv</t>
  </si>
  <si>
    <t>ITA_002_MZB_LO.csv</t>
  </si>
  <si>
    <t>ITA_025_MZB_LO2.csv</t>
  </si>
  <si>
    <t>ITA_025_MZB_LO1.csv</t>
  </si>
  <si>
    <t>ITA_091_FI_LO.csv</t>
  </si>
  <si>
    <t>GER_069_MZB_LO.csv</t>
  </si>
  <si>
    <t>ESP_033_MZB_LO.csv</t>
  </si>
  <si>
    <t>AUT_081_FI_LO.csv</t>
  </si>
  <si>
    <t>ITA_024_MZB_LO.csv</t>
  </si>
  <si>
    <t>FRA_095_FI_LO.csv</t>
  </si>
  <si>
    <t>ESP_059_MZB_LE.csv</t>
  </si>
  <si>
    <t>ESP_059_FI_LO.csv</t>
  </si>
  <si>
    <t>No co-authorship necessary confirmed by Eddy Cosson (13.10.2025)</t>
  </si>
  <si>
    <t>No co-authorship necessary, data permission through Ariane Moulinec (18.06.2025)</t>
  </si>
  <si>
    <t>SCO_074_MZB_LE.csv</t>
  </si>
  <si>
    <t>SCO_074_FI_LO.csv</t>
  </si>
  <si>
    <t>ESP_033_MP_LE.csv</t>
  </si>
  <si>
    <t>ESP_058_MP_LO.csv</t>
  </si>
  <si>
    <t>ESP_105_FI_LO.csv</t>
  </si>
  <si>
    <t>FRA_015_FI_LO.csv</t>
  </si>
  <si>
    <t>georges.carrel@inrae.fr</t>
  </si>
  <si>
    <t>c.canob12@gmail.com</t>
  </si>
  <si>
    <t>Freshwater Ecology, Hydrology and Management (FEHM), SHE-2, Institut de Diagnòstic Ambiental i Estudis de l'Aigua (IDAEA), CSIC, Barcelona, Spain</t>
  </si>
  <si>
    <t>Álvarez-Cabria</t>
  </si>
  <si>
    <t>Mario Álvarez-Cabria</t>
  </si>
  <si>
    <t>FEHM-Lab (Freshwater Ecology, Hydrology and Management), Department of Evolutionary Biology, Ecology and Environmental Sciences, Facultat de Biologia, Institut de Recerca de la Biodiversitat (IRBio), University of Barcelona, Barcelona 08028 Spain</t>
  </si>
  <si>
    <t>Laurence.carvalho@niva.no</t>
  </si>
  <si>
    <t>NOR_066_MP_LE.csv</t>
  </si>
  <si>
    <t>Čerba</t>
  </si>
  <si>
    <t>Dubravka Čerba</t>
  </si>
  <si>
    <t>SVK_065_MZB_LO.csv</t>
  </si>
  <si>
    <t>Slovakia</t>
  </si>
  <si>
    <t>dubravka.cerba@vuvh.sk</t>
  </si>
  <si>
    <t>maxime.chevre@infofauna.ch</t>
  </si>
  <si>
    <t>CHE_075_MZB_LO.csv</t>
  </si>
  <si>
    <t>csabai@gamma.ttk.pte.hu</t>
  </si>
  <si>
    <t>Hungary</t>
  </si>
  <si>
    <t>HUN_022_MZB_LO.csv</t>
  </si>
  <si>
    <t>Department of Hydrobiology, University of Pécs, Pécs 7624 Hungary</t>
  </si>
  <si>
    <t>Balaton Limnological Research Institute, Tihany 8237 Hungary</t>
  </si>
  <si>
    <t>david.cunillera@dcm.cat</t>
  </si>
  <si>
    <t>Institute of Aquatic Ecology. HUN-REN Centre for Ecological Research, 1113 Budapest, Karolina út 29, Hungary</t>
  </si>
  <si>
    <t>ESP_058_MZB_LO.csv</t>
  </si>
  <si>
    <t>All MZB data now OA: Haase et al. 2023, Sinclair et al. 2024 (eqrs), Welti et al. 2024</t>
  </si>
  <si>
    <t>All MZB data now OA: Haase et al. 2023, Welti et al. 2024</t>
  </si>
  <si>
    <t>All MZB data now OA: Sinclair et al. 2024 (eqrs), Welti et al. 2024</t>
  </si>
  <si>
    <t>All MZB data now OA: Haase et al. 2023, Sinclair et al. 2024 (eqrs), Sinclair et al. 2024 (traits), Welti et al. 2024</t>
  </si>
  <si>
    <t>1 unpublished: DESTRESS 2nd</t>
  </si>
  <si>
    <t>2 unpublished: DESTRESS 1st &amp; 2nd</t>
  </si>
  <si>
    <t>Sinclair et al. 2024 (traits), 3 unpublished: Sinclair PAs, DESTRESS 1st &amp; 2nd</t>
  </si>
  <si>
    <t>3 unpublished: Sinclair PAs, DESTRESS 1st &amp; 2nd</t>
  </si>
  <si>
    <t>czegledi.istvan@blki.hu</t>
  </si>
  <si>
    <t>Tibor Erős</t>
  </si>
  <si>
    <t>HUN_086_FI_LO.csv</t>
  </si>
  <si>
    <t>thibault.datry@inrae.fr</t>
  </si>
  <si>
    <t>FRA_014_MZB_LO.csv</t>
  </si>
  <si>
    <t>davis.ozolins@lu.lv</t>
  </si>
  <si>
    <t>LVA_026_MZB_LO.csv</t>
  </si>
  <si>
    <t>Latvia</t>
  </si>
  <si>
    <t>elvira.deeyto@marine.ie</t>
  </si>
  <si>
    <t>Fisheries Ecosystems Advisory Services, Marine Institute, Newport F28PF65 Ireland</t>
  </si>
  <si>
    <t>IRL_023_MZB_LO.csv</t>
  </si>
  <si>
    <t>IRL_023_FI_LO.csv</t>
  </si>
  <si>
    <t>samuel.dembski@ofb.gouv.fr</t>
  </si>
  <si>
    <t>rdiaz@ebd.csic.es</t>
  </si>
  <si>
    <t>doadrio@mncn.csic.es</t>
  </si>
  <si>
    <t>alain.dohet@list.lu</t>
  </si>
  <si>
    <t>Environmental Research and Innovation Department, Luxembourg Institute of Science and Technology, Esch-sur-Alzette L-4362 Luxembourg</t>
  </si>
  <si>
    <t>Luxembourg</t>
  </si>
  <si>
    <t>LUX_027_MZB_LO.csv</t>
  </si>
  <si>
    <t>gdorflinger@wdd.moa.gov.cy</t>
  </si>
  <si>
    <t>Water Development Department, Ministry of Agriculture, Rural Development and Environment, Nicosia 1047 Cyprus</t>
  </si>
  <si>
    <t>CYP_009_MZB_LO.csv</t>
  </si>
  <si>
    <t>Emma.Drohan@dkit.ie</t>
  </si>
  <si>
    <t>Cyprus</t>
  </si>
  <si>
    <t>emilia.elexova@vuvh.sk</t>
  </si>
  <si>
    <t>judy.england@environment-agency.gov.uk</t>
  </si>
  <si>
    <t>Environment Agency, Wallingford OX10 8BD UK</t>
  </si>
  <si>
    <t>ENG_042_MZB_LO.csv</t>
  </si>
  <si>
    <t>ENG_079_MP_LO.csv</t>
  </si>
  <si>
    <t>Tor.Erik.Eriksen@niva.no</t>
  </si>
  <si>
    <t>Norwegian Institute for Water Research (NIVA), Økernveien 94, Oslo 0579 Norway</t>
  </si>
  <si>
    <t>NOR_029_MZB_LO1.csv</t>
  </si>
  <si>
    <t>NOR_029_MZB_LO2.csv</t>
  </si>
  <si>
    <t>Erős</t>
  </si>
  <si>
    <t>eros.tibor@blki.hu</t>
  </si>
  <si>
    <t>rescaffre@gmail.com</t>
  </si>
  <si>
    <t>Data &amp; Methodology Support Unit, French Biodiversity Agency, 94300 Vincennes, France</t>
  </si>
  <si>
    <t>vesela.evtimova@gmail.com</t>
  </si>
  <si>
    <t>BGR_006_MZB_LO.csv</t>
  </si>
  <si>
    <t>Bulgaria</t>
  </si>
  <si>
    <t>Department of Aquatic Ecosystems, Institute of Biodiversity and Ecosystem Research, Bulgarian Academy of Sciences, Sofia 1000 Bulgaria</t>
  </si>
  <si>
    <t>antoniotfaro@isa.ulisboa.pt</t>
  </si>
  <si>
    <t>PRT_109_FI_LO.csv</t>
  </si>
  <si>
    <t>h.feeley@epa.ie</t>
  </si>
  <si>
    <t>Environmental Protection Agency, Richview, Dublin 14, D14 YR62, Ireland</t>
  </si>
  <si>
    <t>Portugal</t>
  </si>
  <si>
    <t>mjf@ci.uc.pt</t>
  </si>
  <si>
    <t>PRT_032_MZB_LO.csv</t>
  </si>
  <si>
    <t>Department of Life Sciences, University of Coimbra, Marine and Environmental Sciences Centre, Associated Laboratory ARNET, Coimbra 3000-456 Portugal</t>
  </si>
  <si>
    <t>terferreira@isa.ulisboa.pt</t>
  </si>
  <si>
    <t>Ferréol</t>
  </si>
  <si>
    <t>Martial Ferréol</t>
  </si>
  <si>
    <t>martial.ferreol@inrae.fr</t>
  </si>
  <si>
    <t>INRAE, UR RiverLy, Centre de Lyon-Villeurbanne, Villeurbanne, France</t>
  </si>
  <si>
    <t>FRA_016_MZB_LO.csv</t>
  </si>
  <si>
    <t>FRA_098_FI_LO.csv</t>
  </si>
  <si>
    <t>FRA_098_MZB_LO.csv</t>
  </si>
  <si>
    <t>gferrerasam@unican.es</t>
  </si>
  <si>
    <t>IHCantabria - Instituto de Hidráulica Ambiental de la Universidad de Cantabria. C/Isabel Torres 15, 39011 Santander, Spain</t>
  </si>
  <si>
    <t>Only if using the EQRs; 3 unpublished: Sinclair PAs, DESTRESS 1st &amp; 2nd</t>
  </si>
  <si>
    <t>carole.fitzpatrick@environment-agency.gov.uk</t>
  </si>
  <si>
    <t>ENG_052_MP_LO.csv</t>
  </si>
  <si>
    <t>ENG_052_MZB_LO.csv</t>
  </si>
  <si>
    <t>nuriaflorarnau@gmail.com</t>
  </si>
  <si>
    <t>mathieu.floury@irstea.fr</t>
  </si>
  <si>
    <t>maxence.forcellini@inrae.fr</t>
  </si>
  <si>
    <t>marie.forio@ugent.be</t>
  </si>
  <si>
    <t>Belgium</t>
  </si>
  <si>
    <t>Department of Animal Sciences and Aquatic Ecology, Ghent University, Coupure Links 653, Ghent, Belgium</t>
  </si>
  <si>
    <t>BEL_005_MP_LO.csv</t>
  </si>
  <si>
    <t>riccardofornaroli@gmail.com</t>
  </si>
  <si>
    <t>Department of Earth and Environmental Sciences - DISAT, University of Milano-Bicocca, Milan 20126 Italy</t>
  </si>
  <si>
    <t>No co-authorship necessary, data permission through Eddy Cosson</t>
  </si>
  <si>
    <t>nikolai.friberg@niva.no</t>
  </si>
  <si>
    <t>DNK_011_MZB_LO.csv</t>
  </si>
  <si>
    <t>Denmark</t>
  </si>
  <si>
    <t>jeanfrancois.fruget@sfr.fr</t>
  </si>
  <si>
    <t>FRA_046_MZB_LO1.csv, FRA_046_MZB_LO2.csv, FRA_046_MZB_LO3.csv</t>
  </si>
  <si>
    <t>ITA_025_MZB_LO1.csv, ITA_025_MZB_LO2.csv</t>
  </si>
  <si>
    <t>FRA_046_MP_LE.csv</t>
  </si>
  <si>
    <t>FRA_046_MP_LO.csv</t>
  </si>
  <si>
    <t>FIN_004_MZB_LO.csv</t>
  </si>
  <si>
    <t>FIN_004_MZB_LE.csv</t>
  </si>
  <si>
    <t>BEL_005_MZB_LE.csv</t>
  </si>
  <si>
    <t>NLD_005_MZB_LO.csv</t>
  </si>
  <si>
    <t>BEL_005_MZB_LO.csv</t>
  </si>
  <si>
    <t>All MZB data now OA: Haase et al. 2023, Sinclair et al. 2024 (eqrs), Welti et al. 2024; 3 unpublished: Sinclair PAs, DESTRESS 1st &amp; 2nd</t>
  </si>
  <si>
    <t>emili.garcia@udg.edu</t>
  </si>
  <si>
    <t>ESP_088_FI_LO.csv</t>
  </si>
  <si>
    <t>tsambi@abv.bg</t>
  </si>
  <si>
    <t>BGR_008_MZB_LO.csv</t>
  </si>
  <si>
    <t>Galia</t>
  </si>
  <si>
    <t>Galia Georgieva</t>
  </si>
  <si>
    <t>Peter.Goethals@UGent.be</t>
  </si>
  <si>
    <t>Department of Animal Sciences and Aquatic Ecology, Ghent University, Ghent, Belgium</t>
  </si>
  <si>
    <t>Netherlands</t>
  </si>
  <si>
    <t>miguel.gomez@uv.es</t>
  </si>
  <si>
    <t>ESP_108_FI_LO.csv</t>
  </si>
  <si>
    <t>ESP_108_FI_LE.csv</t>
  </si>
  <si>
    <t>mgraca@ci.uc.pt</t>
  </si>
  <si>
    <t>ignacio.granados@pnsg.es</t>
  </si>
  <si>
    <t>ESP_060_MZB_LE.csv</t>
  </si>
  <si>
    <t>peter.haase@senckenberg.de</t>
  </si>
  <si>
    <t>Department of River Ecology and Conservation, Senckenberg Research Institute and Natural History Museum Frankfurt, Gelnhausen 63571 Germany</t>
  </si>
  <si>
    <t>Faculty of Biology, University of Duisburg-Essen, Universitätsstraße 5, Essen 45141 Germany</t>
  </si>
  <si>
    <t>GER_019_MZB_LO.csv</t>
  </si>
  <si>
    <t>dariusz.halabowski@biol.uni.lodz.pl</t>
  </si>
  <si>
    <t>thesthagen@gmail.com</t>
  </si>
  <si>
    <t>NOR_103_FI_LO.csv</t>
  </si>
  <si>
    <t>sabine.hilt@igb-berlin.de</t>
  </si>
  <si>
    <t>GER_077_MP_LE.csv</t>
  </si>
  <si>
    <t>thomas.wanke@hlnug.hessen.de</t>
  </si>
  <si>
    <t>GER_047_MZB_LO1.csv</t>
  </si>
  <si>
    <t>GER_047_MZB_LO2.csv</t>
  </si>
  <si>
    <t>GER_047_FI_LO.csv</t>
  </si>
  <si>
    <t>GER_047_MP_LO.csv</t>
  </si>
  <si>
    <t>kerstin.holmgren@slu.se</t>
  </si>
  <si>
    <t>SWE_090_FI_LE.csv</t>
  </si>
  <si>
    <t>loket@hhdelfland.nl</t>
  </si>
  <si>
    <t>NLD_049_MP_LE.csv</t>
  </si>
  <si>
    <t>NLD_049_MZB_LE.csv</t>
  </si>
  <si>
    <t>andy.house@wessexwater.co.uk</t>
  </si>
  <si>
    <t>kaisa-leena.huttunen@oulu.fi</t>
  </si>
  <si>
    <t>FIN_013_MZB_LO.csv</t>
  </si>
  <si>
    <t>González-Ferreras</t>
  </si>
  <si>
    <t>Alexia Maria González-Ferreras</t>
  </si>
  <si>
    <t>ESP_092_FI_LO.csv</t>
  </si>
  <si>
    <t>No co-authorship necessary, data permission through Alexia Maria González-Ferreras</t>
  </si>
  <si>
    <t>gaelle.jardin@ofb.gouv.fr</t>
  </si>
  <si>
    <t>Thomas.Jensen@nina.no</t>
  </si>
  <si>
    <t>NOR_104_FI_LE.csv</t>
  </si>
  <si>
    <t>C.</t>
  </si>
  <si>
    <t>K.</t>
  </si>
  <si>
    <t>W.</t>
  </si>
  <si>
    <t>Thomas C. Jensen</t>
  </si>
  <si>
    <t>Marthe.jenssen@niva.no</t>
  </si>
  <si>
    <t>NOTES</t>
  </si>
  <si>
    <t>richard.johnson@slu.se</t>
  </si>
  <si>
    <t>Richard K. Johnson</t>
  </si>
  <si>
    <t>SWE_038_MZB_LE.csv</t>
  </si>
  <si>
    <t>SWE_038_MP_LE.csv</t>
  </si>
  <si>
    <t>J. Iwan Jones</t>
  </si>
  <si>
    <t>j.i.jones@qmul.ac.uk</t>
  </si>
  <si>
    <t>School of Biological and Behavioural Sciences, Queen Mary University of London, London E1 4NS, UK</t>
  </si>
  <si>
    <t>Department of Aquatic Sciences and Assessment, Swedish University of Agricultural Sciences, Uppsala 75651 Sweden</t>
  </si>
  <si>
    <t>Ecology and Genetics Research Unit, University of Oulu, Oulu 90014 Finland</t>
  </si>
  <si>
    <t>Wales</t>
  </si>
  <si>
    <t>ENG_041_MZB_LO.csv</t>
  </si>
  <si>
    <t>SCO_041_MZB_LO.csv</t>
  </si>
  <si>
    <t>WAL_041_MZB_LO.csv</t>
  </si>
  <si>
    <t>kilian.junker@infofauna.ch</t>
  </si>
  <si>
    <t>iarrate@uragentzia.eus</t>
  </si>
  <si>
    <t>j.jupke@rptu.de</t>
  </si>
  <si>
    <t>FRA_084_FI_LO.csv</t>
  </si>
  <si>
    <t>ekalog@hcmr.gr</t>
  </si>
  <si>
    <t>GRC_096_FI_LO.csv</t>
  </si>
  <si>
    <t>Greece</t>
  </si>
  <si>
    <t>ikarz@hcmr.gr</t>
  </si>
  <si>
    <t>GRC_048_MZB_LO.csv</t>
  </si>
  <si>
    <t>Institute of Marine Biological Resources and Inland Waters, Hellenic Centre for Marine Research, Anavyssos 19013, Greece</t>
  </si>
  <si>
    <t>koutsikos@gmail.com</t>
  </si>
  <si>
    <t>GRC_085_FI_LO.csv</t>
  </si>
  <si>
    <t>lenka.kuglerova@slu.se</t>
  </si>
  <si>
    <t>SWE_039_MZB_LO.csv</t>
  </si>
  <si>
    <t>Department of Forest Ecology and Management, Swedish University of Agricultural Sciences, Umeå 90736 Sweden</t>
  </si>
  <si>
    <t>alex.laini@unito.it</t>
  </si>
  <si>
    <t>GER_070_MZB_LO.csv</t>
  </si>
  <si>
    <t>GER_071_MZB_LO.csv</t>
  </si>
  <si>
    <t>GER_064_MZB_LO.csv</t>
  </si>
  <si>
    <t>GER_072_MZB_LO.csv</t>
  </si>
  <si>
    <t>GER_073_MZB_LO.csv</t>
  </si>
  <si>
    <t>Old MZB data now OA: Haase et al. 2023, Sinclair et al. 2024 (eqrs), Sinclair et al. 2024 (traits), Welti et al. 2024; Updated data in 3 unpublished: Sinclair PAs, DESTRESS 1st &amp; 2nd</t>
  </si>
  <si>
    <t>ESP_034_FI_LE.csv</t>
  </si>
  <si>
    <t>alecuona@gipuzkoa.eus</t>
  </si>
  <si>
    <t>patrick.leitner@boku.ac.at</t>
  </si>
  <si>
    <t>AUT_001_MZB_LO.csv</t>
  </si>
  <si>
    <t>Lešťáková</t>
  </si>
  <si>
    <t>Margita Lešťáková</t>
  </si>
  <si>
    <t>margita.lestakova@vuvh.sk</t>
  </si>
  <si>
    <t>lionel.lhoste@list.lu</t>
  </si>
  <si>
    <t>marie-helene.lizee@inrae.fr</t>
  </si>
  <si>
    <t>anthony.maire@edf.fr</t>
  </si>
  <si>
    <t>alfredo@anbiotek.com</t>
  </si>
  <si>
    <t>ESP_045_MZB_LO.csv</t>
  </si>
  <si>
    <t>armin.lorenz@uni-due.de</t>
  </si>
  <si>
    <t>GER_017_MZB_LO1.csv, GER_017_MZB_LO2.csv</t>
  </si>
  <si>
    <t>GER_017_MP_LE.csv</t>
  </si>
  <si>
    <t>GER_017_MP_LO1.csv, GER_017_MP_LO2.csv</t>
  </si>
  <si>
    <t>helle.maemets@emu.ee</t>
  </si>
  <si>
    <t>Estonia</t>
  </si>
  <si>
    <t>EST_067_MP_LE.csv</t>
  </si>
  <si>
    <t>sebastien.manne@ofb.gouv.fr</t>
  </si>
  <si>
    <t>rociomarquez@ebd.csic.es</t>
  </si>
  <si>
    <t>fmdm@ci.uc.pt</t>
  </si>
  <si>
    <t>PRT_107_FI_LO.csv</t>
  </si>
  <si>
    <t>PRT_107_FI_LE.csv</t>
  </si>
  <si>
    <t>Brendan.Mckie@slu.se</t>
  </si>
  <si>
    <t>thomas.mehner@igb-berlin.de</t>
  </si>
  <si>
    <t>GER_099_FI_LE.csv</t>
  </si>
  <si>
    <t>imendiola@gipuzkoa.eus</t>
  </si>
  <si>
    <t>rmiranda@unav.es</t>
  </si>
  <si>
    <t>ESP_093_FI_LO.csv</t>
  </si>
  <si>
    <t>donm@ceh.ac.uk</t>
  </si>
  <si>
    <t>ENG_043_MZB_LO.csv</t>
  </si>
  <si>
    <t>timo.muotka@oulu.fi</t>
  </si>
  <si>
    <t>j.f.murphy@qmul.ac.uk</t>
  </si>
  <si>
    <t>All MZB data now OA: Haase et al. 2023, Sinclair et al. 2024 (traits), Welti et al. 2024</t>
  </si>
  <si>
    <t>knut.marius.myrvold@gmail.com</t>
  </si>
  <si>
    <t>a.d.nunn@hull.ac.uk</t>
  </si>
  <si>
    <t>ENG_094_FI_LO.csv</t>
  </si>
  <si>
    <t>anthi.oikon@gmail.com</t>
  </si>
  <si>
    <t>GRC_100_FI_LO.csv</t>
  </si>
  <si>
    <t>fjoliva@um.es</t>
  </si>
  <si>
    <t>ESP_089_FI_LO.csv</t>
  </si>
  <si>
    <t>Ecology &amp; Genetics Research Unit, University of Oulu, PO Box 8000, 90014 Oulu, Finland</t>
  </si>
  <si>
    <t>Goethe University Frankfurt, Faculty of Biological Sciences, Institute of Ecology, Evolution and Diversity, Max-von-Laue-Straße 13, 60438 Frankfurt am Main, Germany</t>
  </si>
  <si>
    <t>Faculty of Biology, University of Duisburg-Essen, Essen 45141 Germany</t>
  </si>
  <si>
    <t>Osadčaja</t>
  </si>
  <si>
    <t>Diana Osadčaja</t>
  </si>
  <si>
    <t>diana.osadcaja@gamtc.lt</t>
  </si>
  <si>
    <t>javioscoz@gmail.com</t>
  </si>
  <si>
    <t>riku.paavola@oulu.fi</t>
  </si>
  <si>
    <t>kadi.palmik@emu.ee</t>
  </si>
  <si>
    <t>p.panek@gios.gov.pl</t>
  </si>
  <si>
    <t>POL_068_FI_LO.csv</t>
  </si>
  <si>
    <t>POL_068_MP_LO.csv</t>
  </si>
  <si>
    <t>evapap@upatras.gr</t>
  </si>
  <si>
    <t>GRC_078_MP_LO.csv</t>
  </si>
  <si>
    <t>GRC_078_MP_LE.csv</t>
  </si>
  <si>
    <t>mpardal@uc.pt</t>
  </si>
  <si>
    <t>PRT_106_MZB_LO.csv</t>
  </si>
  <si>
    <t>CZE_010_MZB_LO.csv</t>
  </si>
  <si>
    <t>paril@sci.muni.cz</t>
  </si>
  <si>
    <t>Oulanka Research Station, University of Oulu Infrastructure Platform, Kuusamo 93900 Finland</t>
  </si>
  <si>
    <t>Department of Botany and Zoology, Faculty of Science, Masaryk University, Kotlarska 2, Brno 61137 Czech Republic</t>
  </si>
  <si>
    <t>sperea2@gmail.com</t>
  </si>
  <si>
    <t>jonas.persson@niva.no</t>
  </si>
  <si>
    <t>NOR_055_MZB_LO.csv</t>
  </si>
  <si>
    <t>jeremy.piffady@inrae.fr</t>
  </si>
  <si>
    <t>francesca.pilotto@umu.se</t>
  </si>
  <si>
    <t>Norwegian Institute for Nature Research (NINA), Oslo 0855 Norway</t>
  </si>
  <si>
    <t>mpiria@agr.hr</t>
  </si>
  <si>
    <t>HRV_082_FI_LO.csv</t>
  </si>
  <si>
    <t>Croatia</t>
  </si>
  <si>
    <t>m.polasek@mail.muni.cz</t>
  </si>
  <si>
    <t>Sinclair et al. 2024 (eqrs), Sinclair et al. 2024 (traits); 1 unpublished: Sinclair PAs</t>
  </si>
  <si>
    <t>peter.pollard@sepa.org.uk</t>
  </si>
  <si>
    <t>SCO_061_MZB_LO.csv</t>
  </si>
  <si>
    <t>SCO_061_MZB_LE.csv</t>
  </si>
  <si>
    <t>SCO_061_MP_LO.csv</t>
  </si>
  <si>
    <t>quevedoortizbio@gmail.com</t>
  </si>
  <si>
    <t>Department of Botany and Zoology, Faculty of Science, Masaryk University, Brno 61137 Czech Republic</t>
  </si>
  <si>
    <t>eraaphorst@hhdelfland.nl</t>
  </si>
  <si>
    <t>tudor.racoviceanu@unibuc.ro</t>
  </si>
  <si>
    <t>jesras@ecos.au.dk</t>
  </si>
  <si>
    <t>E.</t>
  </si>
  <si>
    <t>Tor E. Eriksen</t>
  </si>
  <si>
    <t>BEL_110_FI_LO.csv</t>
  </si>
  <si>
    <t>ENG_110_FI_LO.csv</t>
  </si>
  <si>
    <t>ESP_110_FI_LO.csv</t>
  </si>
  <si>
    <t>FIN_110_FI_LO.csv</t>
  </si>
  <si>
    <t>FRA_110_FI_LO.csv</t>
  </si>
  <si>
    <t>HUN_110_FI_LO.csv</t>
  </si>
  <si>
    <t>NLD_110_FI_LO.csv</t>
  </si>
  <si>
    <t>NOR_110_FI_LO.csv</t>
  </si>
  <si>
    <t>SWE_110_FI_LO.csv</t>
  </si>
  <si>
    <t>robertab@hcmr.gr</t>
  </si>
  <si>
    <t>Christopher.Robinson@eawag.ch</t>
  </si>
  <si>
    <t>CHE_076_MZB_LO.csv</t>
  </si>
  <si>
    <t>katharina.roczen@hlnug.hessen.de</t>
  </si>
  <si>
    <t>angel.rubio@pnsg.es</t>
  </si>
  <si>
    <t>ESP_060_MZB_LO.csv</t>
  </si>
  <si>
    <t>randi.saksgard@nina.no</t>
  </si>
  <si>
    <t>Thomas Correll Jensen</t>
  </si>
  <si>
    <t>acmillan@um.es</t>
  </si>
  <si>
    <t>ESP_037_MZB_LO.csv</t>
  </si>
  <si>
    <t>Andrés Millán</t>
  </si>
  <si>
    <t>David Sánchez-Fernández</t>
  </si>
  <si>
    <t>Sánchez-Fernández</t>
  </si>
  <si>
    <t>davidsan@um.es</t>
  </si>
  <si>
    <t>Leonard.Sandin@niva.no</t>
  </si>
  <si>
    <t>Ščerbáková</t>
  </si>
  <si>
    <t>Soňa</t>
  </si>
  <si>
    <t>Soňa Ščerbáková</t>
  </si>
  <si>
    <t>sona.scerbakova@vuvh.sk</t>
  </si>
  <si>
    <t>GER_018_MZB_LO1.csv, GER_018_MZB_LO2.csv</t>
  </si>
  <si>
    <t>ralf.schaefer@uni-due.de</t>
  </si>
  <si>
    <t>RPTU Kaiserslautern-Landau, Institute for Environmental Sciences, Fortstrasse 7, 76829 Landau, Germany</t>
  </si>
  <si>
    <t>All MZB data now OA: Haase et al. 2023, Sinclair et al. 2024 (eqrs), Sinclair et al. 2024 (traits) Welti et al. 2024; 1 unpublished: Sinclair PAs</t>
  </si>
  <si>
    <t>ask@boku.ac.at</t>
  </si>
  <si>
    <t>University of Natural Resources and Life Sciences, Vienna, Department of Water, Atmosphere and Environment, Institute of Hydrobiology and Aquatic Ecosystem Management, Vienna 1180 Austria</t>
  </si>
  <si>
    <t>Nele.Schuwirth@eawag.ch</t>
  </si>
  <si>
    <t>Alberto.Scotti@eurac.edu</t>
  </si>
  <si>
    <t>Eurac Research, Institute for Alpine Environment, Bolzano/Bozen 39100 Italy</t>
  </si>
  <si>
    <t>APEM Ltd, Riverview, A17 - The Embankment Business Park, Heaton Mersey, Stockport SK4 3GN, United Kingdom</t>
  </si>
  <si>
    <t>carina.seliger@boku.ac.at</t>
  </si>
  <si>
    <t>franciscojesus.penas@unican.es</t>
  </si>
  <si>
    <t>Peñas</t>
  </si>
  <si>
    <t>Francisco J. Peñas</t>
  </si>
  <si>
    <t>james.sinclair270@gmail.com</t>
  </si>
  <si>
    <t>ENG_062_MZB_LO1.csv, ENG_062_MZB_LO2.csv</t>
  </si>
  <si>
    <t>agnija.skuja@lu.lv</t>
  </si>
  <si>
    <t>Institute of Biology, University of Latvia, Riga LV-1004 Latvia</t>
  </si>
  <si>
    <t>No co-authorship necessary, data permission through Carole Fitzpatrick</t>
  </si>
  <si>
    <t>State enterprises Povodí Moravy, Ohře, Odry, Labe, Vltavy (via Petr Paril)</t>
  </si>
  <si>
    <t>No co-authorship necessary, data permission through Petr Paril</t>
  </si>
  <si>
    <t>kstefani@upatras.gr</t>
  </si>
  <si>
    <t>s.stoll@umwelt-campus.de</t>
  </si>
  <si>
    <t>GER_020_MZB_LO.csv</t>
  </si>
  <si>
    <t>GER_020_FI_LO.csv</t>
  </si>
  <si>
    <t>mstoum@hcmr.gr</t>
  </si>
  <si>
    <t>michal.straka@centrum.cz</t>
  </si>
  <si>
    <t>T.G. Masaryk Water Research Institute, p.r.i., Brno 61200 Czech Republic</t>
  </si>
  <si>
    <t>rachel.stubbington@ntu.ac.uk</t>
  </si>
  <si>
    <t>School of Science and Technology, Nottingham Trent University, Nottingham NG11 8NS UK</t>
  </si>
  <si>
    <t>tapio.sutela@luke.fi</t>
  </si>
  <si>
    <t>FIN_083_FI_LO.csv</t>
  </si>
  <si>
    <t>takacs.peter@blki.hu</t>
  </si>
  <si>
    <t>kirstine.thiemer@ecos.au.dk</t>
  </si>
  <si>
    <t>DNK_066_MP_LO.csv</t>
  </si>
  <si>
    <t>DNK_066_MP_LE.csv</t>
  </si>
  <si>
    <t>Henn.Timm@emu.ee</t>
  </si>
  <si>
    <t>EST_012_MZB_LO.csv</t>
  </si>
  <si>
    <t>EST_012_MZB_LE.csv</t>
  </si>
  <si>
    <t>Estonian University of Life Sciences, Chair of Hydrobiology and Fishery, Centre for Limnology, Elva vald 61117 Estonia</t>
  </si>
  <si>
    <t>astrid.tonstad@nina.no</t>
  </si>
  <si>
    <t>torralva@um.es</t>
  </si>
  <si>
    <t>jarno.turunen@syke.fi</t>
  </si>
  <si>
    <t>FIN_0101_MZB_LO.csv</t>
  </si>
  <si>
    <t>?</t>
  </si>
  <si>
    <t>FIN_101_FI_LO.csv</t>
  </si>
  <si>
    <t>vtyufekchieva@yahoo.com</t>
  </si>
  <si>
    <t>BGR_007_MZB_LO.csv</t>
  </si>
  <si>
    <t>ITziortzis@wdd.moa.gov.cy</t>
  </si>
  <si>
    <t>CYP_009_FI_LO.csv</t>
  </si>
  <si>
    <t xml:space="preserve">uzunesku@abv.bg </t>
  </si>
  <si>
    <t>gea.vanderlee@wur.nl</t>
  </si>
  <si>
    <t>NLD_028_MZB_LO1.csv, NLD_028_MZB_LO2.csv</t>
  </si>
  <si>
    <t>H.</t>
  </si>
  <si>
    <t>Gea H. van der Lee</t>
  </si>
  <si>
    <t>r.vannevel@vmm.be</t>
  </si>
  <si>
    <t>Flanders Environment Agency, Dr. De Moorstraat 24-26, 9300 Aalst, Belgium</t>
  </si>
  <si>
    <t>emily.varadinova@gmail.com</t>
  </si>
  <si>
    <t>varbiro.gabor@okologia.mta.hu</t>
  </si>
  <si>
    <t>Centre for Ecological Research, Institute of Aquatic Ecology, Debrecen H-4026 Hungary</t>
  </si>
  <si>
    <t>louisvard@gmail.com</t>
  </si>
  <si>
    <t>teppo.vehanen@luke.fi</t>
  </si>
  <si>
    <t>gvel@norceresearch.no</t>
  </si>
  <si>
    <t>NOR_054_MZB_LO1.csv</t>
  </si>
  <si>
    <t>LFI - The Laboratory for Freshwater Ecology and Inland Fisheries, NORCE Norwegian Research Centre, Bergen 5838 Norway</t>
  </si>
  <si>
    <t>Department of Biological Sciences, University of Bergen, Bergen 5005 Norway</t>
  </si>
  <si>
    <t>NOR_054_MZB_LO2.csv</t>
  </si>
  <si>
    <t>NOR_054_MZB_LE.csv</t>
  </si>
  <si>
    <t>piet.verdonschot@wur.nl</t>
  </si>
  <si>
    <t>F. M.</t>
  </si>
  <si>
    <t>Piet F. M. Verdonschot</t>
  </si>
  <si>
    <t>ralf.verdonschot@wur.nl</t>
  </si>
  <si>
    <t>C. M.</t>
  </si>
  <si>
    <t>Ralf C. M. Verdonschot</t>
  </si>
  <si>
    <t>vidinova@yahoo.com</t>
  </si>
  <si>
    <t>alejandra.goldenberg@unican.es</t>
  </si>
  <si>
    <t>No co-authorship necessary, all data permissions transferred to Nathan J. Baker; All MZB data now OA: Haase et al. 2023, Welti et al. 2024</t>
  </si>
  <si>
    <t>pwl@bios.au.dk</t>
  </si>
  <si>
    <t>yael.schindler@bafu.admin.ch</t>
  </si>
  <si>
    <t>m.wilkes@essex.ac.uk</t>
  </si>
  <si>
    <t>EQRs only; 3 unpublished: Sinclair PAs, DESTRESS 1st &amp; 2nd</t>
  </si>
  <si>
    <t xml:space="preserve">christian.wolter@igb-berlin.de   </t>
  </si>
  <si>
    <t>GER_102_FI_LO.csv</t>
  </si>
  <si>
    <t>josemanuel.zamora@um.es</t>
  </si>
  <si>
    <t>Namsrai</t>
  </si>
  <si>
    <t>Jargal</t>
  </si>
  <si>
    <t>jargal.namsrai.sci@gmail.com</t>
  </si>
  <si>
    <t>Namsrai Jargal</t>
  </si>
  <si>
    <t>No co-authorship necessary, but must be cited</t>
  </si>
  <si>
    <t>MZB_LO_file</t>
  </si>
  <si>
    <t>MZB_LO_sites</t>
  </si>
  <si>
    <t>MZB_LO_used</t>
  </si>
  <si>
    <t>MZB_LO_pub</t>
  </si>
  <si>
    <t>MZB_LO</t>
  </si>
  <si>
    <t>MZB_LE</t>
  </si>
  <si>
    <t>MZB_LE_file</t>
  </si>
  <si>
    <t>MZB_LE_sites</t>
  </si>
  <si>
    <t>MZB_LE_used</t>
  </si>
  <si>
    <t>MZB_LE_pub</t>
  </si>
  <si>
    <t>MP_LO</t>
  </si>
  <si>
    <t>MP_LO_file</t>
  </si>
  <si>
    <t>MP_LO_sites</t>
  </si>
  <si>
    <t>MP_LO_used</t>
  </si>
  <si>
    <t>MP_LO_pub</t>
  </si>
  <si>
    <t>MP_LE</t>
  </si>
  <si>
    <t>MP_LE_file</t>
  </si>
  <si>
    <t>MP_LE_sites</t>
  </si>
  <si>
    <t>MP_LE_used</t>
  </si>
  <si>
    <t>MP_LE_pub</t>
  </si>
  <si>
    <t>FI_LO</t>
  </si>
  <si>
    <t>FI_LO_file</t>
  </si>
  <si>
    <t>FI_LO_sites</t>
  </si>
  <si>
    <t>FI_LO_used</t>
  </si>
  <si>
    <t>FI_LO_pub</t>
  </si>
  <si>
    <t>FI_LE</t>
  </si>
  <si>
    <t>FI_LE_file</t>
  </si>
  <si>
    <t>FI_LE_sites</t>
  </si>
  <si>
    <t>FI_LE_used</t>
  </si>
  <si>
    <t>FI_LE_pub</t>
  </si>
  <si>
    <t>primary (1 = yes)</t>
  </si>
  <si>
    <t>affiliation2</t>
  </si>
  <si>
    <t>affiliation1</t>
  </si>
  <si>
    <t>tomas.virbickas@gamtc.lt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</si>
</sst>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36" borderId="10" xfId="0" applyFill="1" applyBorder="1"/>
    <xf numFmtId="0" fontId="0" fillId="0" borderId="10" xfId="0" applyBorder="1"/>
    <xf numFmtId="0" fontId="0" fillId="34" borderId="10" xfId="0" applyFill="1" applyBorder="1"/>
    <xf numFmtId="0" fontId="0" fillId="0" borderId="11" xfId="0" applyBorder="1"/>
    <xf numFmtId="0" fontId="0" fillId="34" borderId="11" xfId="0" applyFill="1" applyBorder="1"/>
    <xf numFmtId="0" fontId="0" fillId="37" borderId="10" xfId="0" applyFill="1" applyBorder="1"/>
    <xf numFmtId="0" fontId="0" fillId="0" borderId="10" xfId="0" applyFill="1" applyBorder="1"/>
    <xf numFmtId="0" fontId="0" fillId="0" borderId="0" xfId="0" applyFill="1" applyBorder="1"/>
    <xf numFmtId="0" fontId="0" fillId="0" borderId="11" xfId="0" applyFill="1" applyBorder="1"/>
    <xf numFmtId="0" fontId="0" fillId="38" borderId="0" xfId="0" applyFill="1" applyBorder="1"/>
    <xf numFmtId="0" fontId="22" fillId="0" borderId="0" xfId="0" applyFont="1"/>
    <xf numFmtId="0" fontId="0" fillId="34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6"/>
  <sheetViews>
    <sheetView tabSelected="1" zoomScale="90" zoomScaleNormal="90" workbookViewId="0">
      <pane ySplit="2" topLeftCell="A228" activePane="bottomLeft" state="frozen"/>
      <selection pane="bottomLeft" activeCell="AG261" sqref="AG261"/>
    </sheetView>
  </sheetViews>
  <sheetFormatPr defaultRowHeight="15" x14ac:dyDescent="0.25"/>
  <cols>
    <col min="4" max="4" width="18.140625" customWidth="1"/>
    <col min="9" max="9" width="13.42578125" customWidth="1"/>
    <col min="10" max="10" width="9.140625" style="12"/>
    <col min="11" max="11" width="9.140625" style="10"/>
    <col min="16" max="16" width="9.140625" style="10"/>
    <col min="21" max="21" width="9.140625" style="10"/>
    <col min="26" max="26" width="9.140625" style="10"/>
    <col min="31" max="31" width="9.140625" style="10" customWidth="1"/>
    <col min="36" max="36" width="9.140625" style="10"/>
  </cols>
  <sheetData>
    <row r="1" spans="1:40" x14ac:dyDescent="0.25">
      <c r="K1" s="9" t="s">
        <v>1047</v>
      </c>
      <c r="L1" s="5"/>
      <c r="M1" s="5"/>
      <c r="N1" s="5"/>
      <c r="O1" s="5" t="s">
        <v>805</v>
      </c>
      <c r="P1" s="14" t="s">
        <v>1048</v>
      </c>
      <c r="Q1" s="6"/>
      <c r="R1" s="6"/>
      <c r="S1" s="6"/>
      <c r="T1" s="6" t="s">
        <v>805</v>
      </c>
      <c r="U1" s="9" t="s">
        <v>1053</v>
      </c>
      <c r="V1" s="5"/>
      <c r="W1" s="5"/>
      <c r="X1" s="5"/>
      <c r="Y1" s="5" t="s">
        <v>805</v>
      </c>
      <c r="Z1" s="14" t="s">
        <v>1058</v>
      </c>
      <c r="AA1" s="6"/>
      <c r="AB1" s="6"/>
      <c r="AC1" s="6"/>
      <c r="AD1" s="6" t="s">
        <v>805</v>
      </c>
      <c r="AE1" s="9" t="s">
        <v>1063</v>
      </c>
      <c r="AF1" s="5"/>
      <c r="AG1" s="5"/>
      <c r="AH1" s="5"/>
      <c r="AI1" s="5" t="s">
        <v>805</v>
      </c>
      <c r="AJ1" s="14" t="s">
        <v>1068</v>
      </c>
      <c r="AK1" s="6"/>
      <c r="AL1" s="6"/>
      <c r="AM1" s="6"/>
      <c r="AN1" s="6" t="s">
        <v>805</v>
      </c>
    </row>
    <row r="2" spans="1:4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1075</v>
      </c>
      <c r="H2" t="s">
        <v>1074</v>
      </c>
      <c r="I2" t="s">
        <v>1073</v>
      </c>
      <c r="J2" s="12" t="s">
        <v>6</v>
      </c>
      <c r="K2" s="10" t="s">
        <v>1043</v>
      </c>
      <c r="L2" t="s">
        <v>1044</v>
      </c>
      <c r="M2" t="s">
        <v>1045</v>
      </c>
      <c r="N2" t="s">
        <v>1046</v>
      </c>
      <c r="P2" s="10" t="s">
        <v>1049</v>
      </c>
      <c r="Q2" t="s">
        <v>1050</v>
      </c>
      <c r="R2" t="s">
        <v>1051</v>
      </c>
      <c r="S2" t="s">
        <v>1052</v>
      </c>
      <c r="U2" s="10" t="s">
        <v>1054</v>
      </c>
      <c r="V2" t="s">
        <v>1055</v>
      </c>
      <c r="W2" t="s">
        <v>1056</v>
      </c>
      <c r="X2" t="s">
        <v>1057</v>
      </c>
      <c r="Z2" s="10" t="s">
        <v>1059</v>
      </c>
      <c r="AA2" t="s">
        <v>1060</v>
      </c>
      <c r="AB2" t="s">
        <v>1061</v>
      </c>
      <c r="AC2" t="s">
        <v>1062</v>
      </c>
      <c r="AE2" s="10" t="s">
        <v>1064</v>
      </c>
      <c r="AF2" t="s">
        <v>1065</v>
      </c>
      <c r="AG2" t="s">
        <v>1066</v>
      </c>
      <c r="AH2" t="s">
        <v>1067</v>
      </c>
      <c r="AJ2" s="10" t="s">
        <v>1069</v>
      </c>
      <c r="AK2" t="s">
        <v>1070</v>
      </c>
      <c r="AL2" t="s">
        <v>1071</v>
      </c>
      <c r="AM2" t="s">
        <v>1072</v>
      </c>
    </row>
    <row r="3" spans="1:40" x14ac:dyDescent="0.25">
      <c r="A3" t="s">
        <v>7</v>
      </c>
      <c r="C3" t="s">
        <v>8</v>
      </c>
      <c r="D3" t="s">
        <v>9</v>
      </c>
      <c r="E3" t="s">
        <v>10</v>
      </c>
      <c r="F3" t="s">
        <v>11</v>
      </c>
      <c r="I3">
        <v>1</v>
      </c>
      <c r="J3" s="12">
        <f>SUM(S3,X3,AH3)</f>
        <v>0</v>
      </c>
      <c r="K3" s="10" t="s">
        <v>12</v>
      </c>
      <c r="L3" t="s">
        <v>12</v>
      </c>
      <c r="M3" s="2" t="s">
        <v>12</v>
      </c>
      <c r="N3" t="s">
        <v>12</v>
      </c>
      <c r="P3" s="10" t="s">
        <v>599</v>
      </c>
      <c r="Q3">
        <v>2</v>
      </c>
      <c r="R3" s="4">
        <v>0</v>
      </c>
      <c r="S3">
        <v>0</v>
      </c>
      <c r="U3" s="10" t="s">
        <v>12</v>
      </c>
      <c r="V3" t="s">
        <v>12</v>
      </c>
      <c r="W3" t="s">
        <v>12</v>
      </c>
      <c r="X3" t="s">
        <v>12</v>
      </c>
      <c r="Z3" s="10" t="s">
        <v>12</v>
      </c>
      <c r="AA3" t="s">
        <v>12</v>
      </c>
      <c r="AB3" t="s">
        <v>12</v>
      </c>
      <c r="AC3" t="s">
        <v>12</v>
      </c>
      <c r="AE3" s="10" t="s">
        <v>12</v>
      </c>
      <c r="AF3" t="s">
        <v>12</v>
      </c>
      <c r="AG3" t="s">
        <v>12</v>
      </c>
      <c r="AH3" t="s">
        <v>12</v>
      </c>
      <c r="AJ3" s="10" t="s">
        <v>12</v>
      </c>
      <c r="AK3" t="s">
        <v>12</v>
      </c>
      <c r="AL3" t="s">
        <v>12</v>
      </c>
      <c r="AM3" t="s">
        <v>12</v>
      </c>
    </row>
    <row r="4" spans="1:40" x14ac:dyDescent="0.25">
      <c r="A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1</v>
      </c>
      <c r="J4" s="12">
        <f t="shared" ref="J4:J70" si="0">SUM(N4,X4,AH4)</f>
        <v>3</v>
      </c>
      <c r="K4" s="10" t="s">
        <v>600</v>
      </c>
      <c r="L4">
        <v>10</v>
      </c>
      <c r="M4" s="3">
        <v>1</v>
      </c>
      <c r="N4">
        <v>3</v>
      </c>
      <c r="O4" t="s">
        <v>661</v>
      </c>
      <c r="P4" s="10" t="s">
        <v>12</v>
      </c>
      <c r="Q4" t="s">
        <v>12</v>
      </c>
      <c r="R4" t="s">
        <v>12</v>
      </c>
      <c r="S4" t="s">
        <v>12</v>
      </c>
      <c r="U4" s="10" t="s">
        <v>12</v>
      </c>
      <c r="V4" t="s">
        <v>12</v>
      </c>
      <c r="W4" t="s">
        <v>12</v>
      </c>
      <c r="X4" t="s">
        <v>12</v>
      </c>
      <c r="Z4" s="10" t="s">
        <v>12</v>
      </c>
      <c r="AA4" t="s">
        <v>12</v>
      </c>
      <c r="AB4" t="s">
        <v>12</v>
      </c>
      <c r="AC4" t="s">
        <v>12</v>
      </c>
      <c r="AE4" s="10" t="s">
        <v>12</v>
      </c>
      <c r="AF4" t="s">
        <v>12</v>
      </c>
      <c r="AG4" t="s">
        <v>12</v>
      </c>
      <c r="AH4" t="s">
        <v>12</v>
      </c>
      <c r="AJ4" s="10" t="s">
        <v>12</v>
      </c>
      <c r="AK4" t="s">
        <v>12</v>
      </c>
      <c r="AL4" t="s">
        <v>12</v>
      </c>
      <c r="AM4" t="s">
        <v>12</v>
      </c>
    </row>
    <row r="5" spans="1:40" x14ac:dyDescent="0.25">
      <c r="A5" s="2" t="s">
        <v>20</v>
      </c>
      <c r="B5" s="2"/>
      <c r="C5" s="2" t="s">
        <v>21</v>
      </c>
      <c r="D5" s="2" t="s">
        <v>22</v>
      </c>
      <c r="E5" s="2" t="s">
        <v>23</v>
      </c>
      <c r="F5" s="2" t="s">
        <v>24</v>
      </c>
      <c r="G5" s="2"/>
      <c r="H5" s="2"/>
      <c r="I5" s="2" t="s">
        <v>25</v>
      </c>
      <c r="J5" s="13">
        <f t="shared" si="0"/>
        <v>0</v>
      </c>
      <c r="K5" s="11" t="s">
        <v>746</v>
      </c>
      <c r="L5" s="2">
        <v>1247</v>
      </c>
      <c r="M5" s="2">
        <v>1</v>
      </c>
      <c r="N5" s="2">
        <v>0</v>
      </c>
      <c r="O5" s="2" t="s">
        <v>630</v>
      </c>
      <c r="P5" s="11" t="s">
        <v>12</v>
      </c>
      <c r="Q5" s="2" t="s">
        <v>12</v>
      </c>
      <c r="R5" s="2" t="s">
        <v>12</v>
      </c>
      <c r="S5" s="2" t="s">
        <v>12</v>
      </c>
      <c r="T5" s="2"/>
      <c r="U5" s="11" t="s">
        <v>749</v>
      </c>
      <c r="V5" s="2">
        <v>510</v>
      </c>
      <c r="W5" s="2">
        <v>0</v>
      </c>
      <c r="X5" s="2">
        <v>0</v>
      </c>
      <c r="Y5" s="2"/>
      <c r="Z5" s="11" t="s">
        <v>748</v>
      </c>
      <c r="AA5" s="2">
        <v>14</v>
      </c>
      <c r="AB5" s="2">
        <v>0</v>
      </c>
      <c r="AC5" s="2">
        <v>0</v>
      </c>
      <c r="AD5" s="2"/>
      <c r="AE5" s="11" t="s">
        <v>12</v>
      </c>
      <c r="AF5" s="2" t="s">
        <v>12</v>
      </c>
      <c r="AG5" s="2" t="s">
        <v>12</v>
      </c>
      <c r="AH5" s="2" t="s">
        <v>12</v>
      </c>
      <c r="AI5" s="2"/>
      <c r="AJ5" s="11" t="s">
        <v>12</v>
      </c>
      <c r="AK5" s="2" t="s">
        <v>12</v>
      </c>
      <c r="AL5" s="2" t="s">
        <v>12</v>
      </c>
      <c r="AM5" s="2" t="s">
        <v>12</v>
      </c>
    </row>
    <row r="6" spans="1:40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I6" t="s">
        <v>32</v>
      </c>
      <c r="J6" s="12">
        <f t="shared" si="0"/>
        <v>2</v>
      </c>
      <c r="K6" s="10" t="s">
        <v>601</v>
      </c>
      <c r="L6">
        <v>37</v>
      </c>
      <c r="M6" s="3">
        <v>1</v>
      </c>
      <c r="N6">
        <v>2</v>
      </c>
      <c r="O6" t="s">
        <v>662</v>
      </c>
      <c r="P6" s="10" t="s">
        <v>12</v>
      </c>
      <c r="Q6" t="s">
        <v>12</v>
      </c>
      <c r="R6" t="s">
        <v>12</v>
      </c>
      <c r="S6" t="s">
        <v>12</v>
      </c>
      <c r="U6" s="10" t="s">
        <v>12</v>
      </c>
      <c r="V6" t="s">
        <v>12</v>
      </c>
      <c r="W6" t="s">
        <v>12</v>
      </c>
      <c r="X6" t="s">
        <v>12</v>
      </c>
      <c r="Z6" s="10" t="s">
        <v>12</v>
      </c>
      <c r="AA6" t="s">
        <v>12</v>
      </c>
      <c r="AB6" t="s">
        <v>12</v>
      </c>
      <c r="AC6" t="s">
        <v>12</v>
      </c>
      <c r="AE6" s="10" t="s">
        <v>12</v>
      </c>
      <c r="AF6" t="s">
        <v>12</v>
      </c>
      <c r="AG6" t="s">
        <v>12</v>
      </c>
      <c r="AH6" t="s">
        <v>12</v>
      </c>
      <c r="AJ6" s="10" t="s">
        <v>12</v>
      </c>
      <c r="AK6" t="s">
        <v>12</v>
      </c>
      <c r="AL6" t="s">
        <v>12</v>
      </c>
      <c r="AM6" t="s">
        <v>12</v>
      </c>
    </row>
    <row r="7" spans="1:40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I7" t="s">
        <v>39</v>
      </c>
      <c r="J7" s="12">
        <f t="shared" si="0"/>
        <v>0</v>
      </c>
      <c r="K7" s="10" t="s">
        <v>602</v>
      </c>
      <c r="L7">
        <v>1764</v>
      </c>
      <c r="M7">
        <v>1</v>
      </c>
      <c r="N7" s="7">
        <v>0</v>
      </c>
      <c r="O7" t="s">
        <v>665</v>
      </c>
      <c r="P7" s="10" t="s">
        <v>12</v>
      </c>
      <c r="Q7" t="s">
        <v>12</v>
      </c>
      <c r="R7" t="s">
        <v>12</v>
      </c>
      <c r="S7" t="s">
        <v>12</v>
      </c>
      <c r="U7" s="10" t="s">
        <v>12</v>
      </c>
      <c r="V7" t="s">
        <v>12</v>
      </c>
      <c r="W7" t="s">
        <v>12</v>
      </c>
      <c r="X7" t="s">
        <v>12</v>
      </c>
      <c r="Z7" s="10" t="s">
        <v>12</v>
      </c>
      <c r="AA7" t="s">
        <v>12</v>
      </c>
      <c r="AB7" t="s">
        <v>12</v>
      </c>
      <c r="AC7" t="s">
        <v>12</v>
      </c>
      <c r="AE7" s="10" t="s">
        <v>12</v>
      </c>
      <c r="AF7" t="s">
        <v>12</v>
      </c>
      <c r="AG7" t="s">
        <v>12</v>
      </c>
      <c r="AH7" t="s">
        <v>12</v>
      </c>
      <c r="AJ7" s="10" t="s">
        <v>12</v>
      </c>
      <c r="AK7" t="s">
        <v>12</v>
      </c>
      <c r="AL7" t="s">
        <v>12</v>
      </c>
      <c r="AM7" t="s">
        <v>12</v>
      </c>
    </row>
    <row r="8" spans="1:40" x14ac:dyDescent="0.25">
      <c r="A8" t="s">
        <v>40</v>
      </c>
      <c r="C8" t="s">
        <v>41</v>
      </c>
      <c r="D8" t="s">
        <v>42</v>
      </c>
      <c r="E8" t="s">
        <v>43</v>
      </c>
      <c r="F8" t="s">
        <v>24</v>
      </c>
      <c r="I8" t="s">
        <v>44</v>
      </c>
      <c r="J8" s="12">
        <f t="shared" si="0"/>
        <v>2</v>
      </c>
      <c r="K8" s="10" t="s">
        <v>603</v>
      </c>
      <c r="L8">
        <v>6</v>
      </c>
      <c r="M8" s="3">
        <v>1</v>
      </c>
      <c r="N8">
        <v>2</v>
      </c>
      <c r="O8" t="s">
        <v>662</v>
      </c>
      <c r="P8" s="10" t="s">
        <v>12</v>
      </c>
      <c r="Q8" t="s">
        <v>12</v>
      </c>
      <c r="R8" t="s">
        <v>12</v>
      </c>
      <c r="S8" t="s">
        <v>12</v>
      </c>
      <c r="U8" s="10" t="s">
        <v>12</v>
      </c>
      <c r="V8" t="s">
        <v>12</v>
      </c>
      <c r="W8" t="s">
        <v>12</v>
      </c>
      <c r="X8" t="s">
        <v>12</v>
      </c>
      <c r="Z8" s="10" t="s">
        <v>12</v>
      </c>
      <c r="AA8" t="s">
        <v>12</v>
      </c>
      <c r="AB8" t="s">
        <v>12</v>
      </c>
      <c r="AC8" t="s">
        <v>12</v>
      </c>
      <c r="AE8" s="10" t="s">
        <v>12</v>
      </c>
      <c r="AF8" t="s">
        <v>12</v>
      </c>
      <c r="AG8" t="s">
        <v>12</v>
      </c>
      <c r="AH8" t="s">
        <v>12</v>
      </c>
      <c r="AJ8" s="10" t="s">
        <v>12</v>
      </c>
      <c r="AK8" t="s">
        <v>12</v>
      </c>
      <c r="AL8" t="s">
        <v>12</v>
      </c>
      <c r="AM8" t="s">
        <v>12</v>
      </c>
    </row>
    <row r="9" spans="1:40" x14ac:dyDescent="0.25">
      <c r="A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I9">
        <v>1</v>
      </c>
      <c r="J9" s="12">
        <f t="shared" si="0"/>
        <v>1</v>
      </c>
      <c r="K9" s="10" t="s">
        <v>750</v>
      </c>
      <c r="L9">
        <v>172</v>
      </c>
      <c r="M9">
        <v>1</v>
      </c>
      <c r="N9" s="7">
        <v>1</v>
      </c>
      <c r="O9" t="s">
        <v>667</v>
      </c>
      <c r="P9" s="10" t="s">
        <v>751</v>
      </c>
      <c r="Q9">
        <v>51</v>
      </c>
      <c r="R9">
        <v>0</v>
      </c>
      <c r="S9">
        <v>0</v>
      </c>
      <c r="U9" s="10" t="s">
        <v>12</v>
      </c>
      <c r="V9" t="s">
        <v>12</v>
      </c>
      <c r="W9" t="s">
        <v>12</v>
      </c>
      <c r="X9" t="s">
        <v>12</v>
      </c>
      <c r="Z9" s="10" t="s">
        <v>12</v>
      </c>
      <c r="AA9" t="s">
        <v>12</v>
      </c>
      <c r="AB9" t="s">
        <v>12</v>
      </c>
      <c r="AC9" t="s">
        <v>12</v>
      </c>
      <c r="AE9" s="10" t="s">
        <v>12</v>
      </c>
      <c r="AF9" t="s">
        <v>12</v>
      </c>
      <c r="AG9" t="s">
        <v>12</v>
      </c>
      <c r="AH9" t="s">
        <v>12</v>
      </c>
      <c r="AJ9" s="10" t="s">
        <v>12</v>
      </c>
      <c r="AK9" t="s">
        <v>12</v>
      </c>
      <c r="AL9" t="s">
        <v>12</v>
      </c>
      <c r="AM9" t="s">
        <v>12</v>
      </c>
    </row>
    <row r="10" spans="1:40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/>
      <c r="H10" s="2"/>
      <c r="I10" s="2" t="s">
        <v>57</v>
      </c>
      <c r="J10" s="13">
        <f t="shared" si="0"/>
        <v>0</v>
      </c>
      <c r="K10" s="11" t="s">
        <v>604</v>
      </c>
      <c r="L10" s="2">
        <v>202</v>
      </c>
      <c r="M10" s="2">
        <v>1</v>
      </c>
      <c r="N10" s="2">
        <v>0</v>
      </c>
      <c r="O10" s="2" t="s">
        <v>58</v>
      </c>
      <c r="P10" s="11" t="s">
        <v>12</v>
      </c>
      <c r="Q10" s="2" t="s">
        <v>12</v>
      </c>
      <c r="R10" s="2" t="s">
        <v>12</v>
      </c>
      <c r="S10" s="2" t="s">
        <v>12</v>
      </c>
      <c r="T10" s="2"/>
      <c r="U10" s="11" t="s">
        <v>605</v>
      </c>
      <c r="V10" s="2">
        <v>91</v>
      </c>
      <c r="W10" s="2">
        <v>0</v>
      </c>
      <c r="X10" s="2">
        <v>0</v>
      </c>
      <c r="Y10" s="2"/>
      <c r="Z10" s="11" t="s">
        <v>12</v>
      </c>
      <c r="AA10" s="2" t="s">
        <v>12</v>
      </c>
      <c r="AB10" s="2" t="s">
        <v>12</v>
      </c>
      <c r="AC10" s="2" t="s">
        <v>12</v>
      </c>
      <c r="AD10" s="2"/>
      <c r="AE10" s="11" t="s">
        <v>12</v>
      </c>
      <c r="AF10" s="2" t="s">
        <v>12</v>
      </c>
      <c r="AG10" s="2" t="s">
        <v>12</v>
      </c>
      <c r="AH10" s="2" t="s">
        <v>12</v>
      </c>
      <c r="AI10" s="2"/>
      <c r="AJ10" s="11" t="s">
        <v>12</v>
      </c>
      <c r="AK10" s="2" t="s">
        <v>12</v>
      </c>
      <c r="AL10" s="2" t="s">
        <v>12</v>
      </c>
      <c r="AM10" s="2" t="s">
        <v>12</v>
      </c>
    </row>
    <row r="11" spans="1:40" x14ac:dyDescent="0.25">
      <c r="A11" t="s">
        <v>59</v>
      </c>
      <c r="C11" t="s">
        <v>60</v>
      </c>
      <c r="D11" t="s">
        <v>61</v>
      </c>
      <c r="F11" t="s">
        <v>62</v>
      </c>
      <c r="I11" t="s">
        <v>63</v>
      </c>
      <c r="J11" s="12">
        <f t="shared" si="0"/>
        <v>2</v>
      </c>
      <c r="K11" s="10" t="s">
        <v>606</v>
      </c>
      <c r="L11">
        <v>12</v>
      </c>
      <c r="M11" s="3">
        <v>1</v>
      </c>
      <c r="N11">
        <v>2</v>
      </c>
      <c r="O11" t="s">
        <v>662</v>
      </c>
      <c r="P11" s="10" t="s">
        <v>12</v>
      </c>
      <c r="Q11" t="s">
        <v>12</v>
      </c>
      <c r="R11" t="s">
        <v>12</v>
      </c>
      <c r="S11" t="s">
        <v>12</v>
      </c>
      <c r="U11" s="10" t="s">
        <v>12</v>
      </c>
      <c r="V11" t="s">
        <v>12</v>
      </c>
      <c r="W11" t="s">
        <v>12</v>
      </c>
      <c r="X11" t="s">
        <v>12</v>
      </c>
      <c r="Z11" s="10" t="s">
        <v>12</v>
      </c>
      <c r="AA11" t="s">
        <v>12</v>
      </c>
      <c r="AB11" t="s">
        <v>12</v>
      </c>
      <c r="AC11" t="s">
        <v>12</v>
      </c>
      <c r="AE11" s="10" t="s">
        <v>12</v>
      </c>
      <c r="AF11" t="s">
        <v>12</v>
      </c>
      <c r="AG11" t="s">
        <v>12</v>
      </c>
      <c r="AH11" t="s">
        <v>12</v>
      </c>
      <c r="AJ11" s="10" t="s">
        <v>12</v>
      </c>
      <c r="AK11" t="s">
        <v>12</v>
      </c>
      <c r="AL11" t="s">
        <v>12</v>
      </c>
      <c r="AM11" t="s">
        <v>12</v>
      </c>
    </row>
    <row r="12" spans="1:40" x14ac:dyDescent="0.25">
      <c r="A12" t="s">
        <v>64</v>
      </c>
      <c r="B12" t="s">
        <v>65</v>
      </c>
      <c r="C12" t="s">
        <v>66</v>
      </c>
      <c r="D12" t="s">
        <v>67</v>
      </c>
      <c r="F12" t="s">
        <v>68</v>
      </c>
      <c r="I12">
        <v>1</v>
      </c>
      <c r="J12" s="12">
        <f t="shared" si="0"/>
        <v>2</v>
      </c>
      <c r="K12" s="10" t="s">
        <v>607</v>
      </c>
      <c r="L12">
        <v>4</v>
      </c>
      <c r="M12" s="3">
        <v>1</v>
      </c>
      <c r="N12">
        <v>2</v>
      </c>
      <c r="O12" t="s">
        <v>662</v>
      </c>
      <c r="P12" s="10" t="s">
        <v>12</v>
      </c>
      <c r="Q12" t="s">
        <v>12</v>
      </c>
      <c r="R12" t="s">
        <v>12</v>
      </c>
      <c r="S12" t="s">
        <v>12</v>
      </c>
      <c r="U12" s="10" t="s">
        <v>12</v>
      </c>
      <c r="V12" t="s">
        <v>12</v>
      </c>
      <c r="W12" t="s">
        <v>12</v>
      </c>
      <c r="X12" t="s">
        <v>12</v>
      </c>
      <c r="Z12" s="10" t="s">
        <v>12</v>
      </c>
      <c r="AA12" t="s">
        <v>12</v>
      </c>
      <c r="AB12" t="s">
        <v>12</v>
      </c>
      <c r="AC12" t="s">
        <v>12</v>
      </c>
      <c r="AE12" s="10" t="s">
        <v>12</v>
      </c>
      <c r="AF12" t="s">
        <v>12</v>
      </c>
      <c r="AG12" t="s">
        <v>12</v>
      </c>
      <c r="AH12" t="s">
        <v>12</v>
      </c>
      <c r="AJ12" s="10" t="s">
        <v>12</v>
      </c>
      <c r="AK12" t="s">
        <v>12</v>
      </c>
      <c r="AL12" t="s">
        <v>12</v>
      </c>
      <c r="AM12" t="s">
        <v>12</v>
      </c>
    </row>
    <row r="13" spans="1:40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12</v>
      </c>
      <c r="I13" t="s">
        <v>76</v>
      </c>
      <c r="J13" s="12">
        <f t="shared" si="0"/>
        <v>2</v>
      </c>
      <c r="K13" s="10" t="s">
        <v>608</v>
      </c>
      <c r="L13">
        <v>1</v>
      </c>
      <c r="M13" s="3">
        <v>1</v>
      </c>
      <c r="N13">
        <v>2</v>
      </c>
      <c r="O13" t="s">
        <v>662</v>
      </c>
      <c r="P13" s="10" t="s">
        <v>12</v>
      </c>
      <c r="Q13" t="s">
        <v>12</v>
      </c>
      <c r="R13" t="s">
        <v>12</v>
      </c>
      <c r="S13" t="s">
        <v>12</v>
      </c>
      <c r="U13" s="10" t="s">
        <v>12</v>
      </c>
      <c r="V13" t="s">
        <v>12</v>
      </c>
      <c r="W13" t="s">
        <v>12</v>
      </c>
      <c r="X13" t="s">
        <v>12</v>
      </c>
      <c r="Z13" s="10" t="s">
        <v>12</v>
      </c>
      <c r="AA13" t="s">
        <v>12</v>
      </c>
      <c r="AB13" t="s">
        <v>12</v>
      </c>
      <c r="AC13" t="s">
        <v>12</v>
      </c>
      <c r="AE13" s="10" t="s">
        <v>12</v>
      </c>
      <c r="AF13" t="s">
        <v>12</v>
      </c>
      <c r="AG13" t="s">
        <v>12</v>
      </c>
      <c r="AH13" t="s">
        <v>12</v>
      </c>
      <c r="AJ13" s="10" t="s">
        <v>12</v>
      </c>
      <c r="AK13" t="s">
        <v>12</v>
      </c>
      <c r="AL13" t="s">
        <v>12</v>
      </c>
      <c r="AM13" t="s">
        <v>12</v>
      </c>
    </row>
    <row r="14" spans="1:40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77</v>
      </c>
      <c r="G14" t="s">
        <v>75</v>
      </c>
      <c r="H14" t="s">
        <v>12</v>
      </c>
      <c r="I14">
        <v>1</v>
      </c>
      <c r="J14" s="12">
        <f t="shared" si="0"/>
        <v>1</v>
      </c>
      <c r="K14" s="10" t="s">
        <v>609</v>
      </c>
      <c r="L14">
        <v>87</v>
      </c>
      <c r="M14" s="1">
        <v>1</v>
      </c>
      <c r="N14">
        <v>1</v>
      </c>
      <c r="O14" t="s">
        <v>78</v>
      </c>
      <c r="P14" s="10" t="s">
        <v>12</v>
      </c>
      <c r="Q14" t="s">
        <v>12</v>
      </c>
      <c r="R14" t="s">
        <v>12</v>
      </c>
      <c r="S14" t="s">
        <v>12</v>
      </c>
      <c r="U14" s="10" t="s">
        <v>12</v>
      </c>
      <c r="V14" t="s">
        <v>12</v>
      </c>
      <c r="W14" t="s">
        <v>12</v>
      </c>
      <c r="X14" t="s">
        <v>12</v>
      </c>
      <c r="Z14" s="10" t="s">
        <v>12</v>
      </c>
      <c r="AA14" t="s">
        <v>12</v>
      </c>
      <c r="AB14" t="s">
        <v>12</v>
      </c>
      <c r="AC14" t="s">
        <v>12</v>
      </c>
      <c r="AE14" s="10" t="s">
        <v>610</v>
      </c>
      <c r="AF14">
        <v>40</v>
      </c>
      <c r="AG14">
        <v>0</v>
      </c>
      <c r="AH14">
        <v>0</v>
      </c>
      <c r="AJ14" s="10" t="s">
        <v>12</v>
      </c>
      <c r="AK14" t="s">
        <v>12</v>
      </c>
      <c r="AL14" t="s">
        <v>12</v>
      </c>
      <c r="AM14" t="s">
        <v>12</v>
      </c>
    </row>
    <row r="15" spans="1:40" x14ac:dyDescent="0.2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79</v>
      </c>
      <c r="G15" t="s">
        <v>75</v>
      </c>
      <c r="H15" t="s">
        <v>12</v>
      </c>
      <c r="I15" t="s">
        <v>80</v>
      </c>
      <c r="J15" s="12">
        <f t="shared" si="0"/>
        <v>0</v>
      </c>
      <c r="K15" s="10" t="s">
        <v>611</v>
      </c>
      <c r="L15">
        <v>26</v>
      </c>
      <c r="M15" s="1">
        <v>0</v>
      </c>
      <c r="N15">
        <v>0</v>
      </c>
      <c r="O15" t="s">
        <v>81</v>
      </c>
      <c r="P15" s="10" t="s">
        <v>12</v>
      </c>
      <c r="Q15" t="s">
        <v>12</v>
      </c>
      <c r="R15" t="s">
        <v>12</v>
      </c>
      <c r="S15" t="s">
        <v>12</v>
      </c>
      <c r="U15" s="10" t="s">
        <v>12</v>
      </c>
      <c r="V15" t="s">
        <v>12</v>
      </c>
      <c r="W15" t="s">
        <v>12</v>
      </c>
      <c r="X15" t="s">
        <v>12</v>
      </c>
      <c r="Z15" s="10" t="s">
        <v>12</v>
      </c>
      <c r="AA15" t="s">
        <v>12</v>
      </c>
      <c r="AB15" t="s">
        <v>12</v>
      </c>
      <c r="AC15" t="s">
        <v>12</v>
      </c>
      <c r="AE15" s="10" t="s">
        <v>12</v>
      </c>
      <c r="AF15" t="s">
        <v>12</v>
      </c>
      <c r="AG15" t="s">
        <v>12</v>
      </c>
      <c r="AH15" t="s">
        <v>12</v>
      </c>
      <c r="AJ15" s="10" t="s">
        <v>12</v>
      </c>
      <c r="AK15" t="s">
        <v>12</v>
      </c>
      <c r="AL15" t="s">
        <v>12</v>
      </c>
      <c r="AM15" t="s">
        <v>12</v>
      </c>
    </row>
    <row r="16" spans="1:40" x14ac:dyDescent="0.25">
      <c r="A16" t="s">
        <v>82</v>
      </c>
      <c r="C16" t="s">
        <v>83</v>
      </c>
      <c r="D16" t="s">
        <v>84</v>
      </c>
      <c r="E16" t="s">
        <v>85</v>
      </c>
      <c r="F16" t="s">
        <v>56</v>
      </c>
      <c r="I16" t="s">
        <v>57</v>
      </c>
      <c r="J16" s="12">
        <f t="shared" si="0"/>
        <v>0</v>
      </c>
      <c r="K16" s="10" t="s">
        <v>12</v>
      </c>
      <c r="L16" t="s">
        <v>12</v>
      </c>
      <c r="M16" s="2" t="s">
        <v>12</v>
      </c>
      <c r="N16" t="s">
        <v>12</v>
      </c>
      <c r="P16" s="10" t="s">
        <v>12</v>
      </c>
      <c r="Q16" t="s">
        <v>12</v>
      </c>
      <c r="R16" t="s">
        <v>12</v>
      </c>
      <c r="S16" t="s">
        <v>12</v>
      </c>
      <c r="U16" s="10" t="s">
        <v>12</v>
      </c>
      <c r="V16" t="s">
        <v>12</v>
      </c>
      <c r="W16" t="s">
        <v>12</v>
      </c>
      <c r="X16" t="s">
        <v>12</v>
      </c>
      <c r="Z16" s="10" t="s">
        <v>12</v>
      </c>
      <c r="AA16" t="s">
        <v>12</v>
      </c>
      <c r="AB16" t="s">
        <v>12</v>
      </c>
      <c r="AC16" t="s">
        <v>12</v>
      </c>
      <c r="AE16" s="10" t="s">
        <v>612</v>
      </c>
      <c r="AF16">
        <v>193</v>
      </c>
      <c r="AG16">
        <v>0</v>
      </c>
      <c r="AH16">
        <v>0</v>
      </c>
      <c r="AJ16" s="10" t="s">
        <v>12</v>
      </c>
      <c r="AK16" t="s">
        <v>12</v>
      </c>
      <c r="AL16" t="s">
        <v>12</v>
      </c>
      <c r="AM16" t="s">
        <v>12</v>
      </c>
    </row>
    <row r="17" spans="1:39" x14ac:dyDescent="0.25">
      <c r="A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 t="s">
        <v>12</v>
      </c>
      <c r="I17" t="s">
        <v>92</v>
      </c>
      <c r="J17" s="12">
        <f t="shared" si="0"/>
        <v>2</v>
      </c>
      <c r="K17" s="10" t="s">
        <v>613</v>
      </c>
      <c r="L17">
        <v>349</v>
      </c>
      <c r="M17" s="3">
        <v>1</v>
      </c>
      <c r="N17">
        <v>2</v>
      </c>
      <c r="O17" t="s">
        <v>93</v>
      </c>
      <c r="P17" s="10" t="s">
        <v>12</v>
      </c>
      <c r="Q17" t="s">
        <v>12</v>
      </c>
      <c r="R17" t="s">
        <v>12</v>
      </c>
      <c r="S17" t="s">
        <v>12</v>
      </c>
      <c r="U17" s="10" t="s">
        <v>614</v>
      </c>
      <c r="V17">
        <v>60</v>
      </c>
      <c r="W17">
        <v>0</v>
      </c>
      <c r="X17">
        <v>0</v>
      </c>
      <c r="Z17" s="10" t="s">
        <v>12</v>
      </c>
      <c r="AA17" t="s">
        <v>12</v>
      </c>
      <c r="AB17" t="s">
        <v>12</v>
      </c>
      <c r="AC17" t="s">
        <v>12</v>
      </c>
      <c r="AE17" s="10" t="s">
        <v>615</v>
      </c>
      <c r="AF17">
        <v>10</v>
      </c>
      <c r="AG17">
        <v>0</v>
      </c>
      <c r="AH17">
        <v>0</v>
      </c>
      <c r="AJ17" s="10" t="s">
        <v>12</v>
      </c>
      <c r="AK17" t="s">
        <v>12</v>
      </c>
      <c r="AL17" t="s">
        <v>12</v>
      </c>
      <c r="AM17" t="s">
        <v>12</v>
      </c>
    </row>
    <row r="18" spans="1:39" x14ac:dyDescent="0.25">
      <c r="A18" t="s">
        <v>94</v>
      </c>
      <c r="C18" t="s">
        <v>95</v>
      </c>
      <c r="D18" t="s">
        <v>96</v>
      </c>
      <c r="E18" t="s">
        <v>97</v>
      </c>
      <c r="F18" t="s">
        <v>56</v>
      </c>
      <c r="G18" t="s">
        <v>98</v>
      </c>
      <c r="H18" t="s">
        <v>12</v>
      </c>
      <c r="I18">
        <v>1</v>
      </c>
      <c r="J18" s="12">
        <f t="shared" si="0"/>
        <v>2</v>
      </c>
      <c r="K18" s="10" t="s">
        <v>616</v>
      </c>
      <c r="L18">
        <v>13</v>
      </c>
      <c r="M18" s="1">
        <v>1</v>
      </c>
      <c r="N18">
        <v>2</v>
      </c>
      <c r="O18" t="s">
        <v>663</v>
      </c>
      <c r="P18" s="10" t="s">
        <v>12</v>
      </c>
      <c r="Q18" t="s">
        <v>12</v>
      </c>
      <c r="R18" t="s">
        <v>12</v>
      </c>
      <c r="S18" t="s">
        <v>12</v>
      </c>
      <c r="U18" s="10" t="s">
        <v>12</v>
      </c>
      <c r="V18" t="s">
        <v>12</v>
      </c>
      <c r="W18" t="s">
        <v>12</v>
      </c>
      <c r="X18" t="s">
        <v>12</v>
      </c>
      <c r="Z18" s="10" t="s">
        <v>12</v>
      </c>
      <c r="AA18" t="s">
        <v>12</v>
      </c>
      <c r="AB18" t="s">
        <v>12</v>
      </c>
      <c r="AC18" t="s">
        <v>12</v>
      </c>
      <c r="AE18" s="10" t="s">
        <v>12</v>
      </c>
      <c r="AF18" t="s">
        <v>12</v>
      </c>
      <c r="AG18" t="s">
        <v>12</v>
      </c>
      <c r="AH18" t="s">
        <v>12</v>
      </c>
      <c r="AJ18" s="10" t="s">
        <v>12</v>
      </c>
      <c r="AK18" t="s">
        <v>12</v>
      </c>
      <c r="AL18" t="s">
        <v>12</v>
      </c>
      <c r="AM18" t="s">
        <v>12</v>
      </c>
    </row>
    <row r="19" spans="1:39" x14ac:dyDescent="0.25">
      <c r="A19" t="s">
        <v>94</v>
      </c>
      <c r="C19" t="s">
        <v>95</v>
      </c>
      <c r="D19" t="s">
        <v>96</v>
      </c>
      <c r="E19" t="s">
        <v>97</v>
      </c>
      <c r="F19" t="s">
        <v>56</v>
      </c>
      <c r="G19" t="s">
        <v>98</v>
      </c>
      <c r="H19" t="s">
        <v>12</v>
      </c>
      <c r="I19">
        <v>1</v>
      </c>
      <c r="J19" s="12">
        <f t="shared" si="0"/>
        <v>0</v>
      </c>
      <c r="K19" s="10" t="s">
        <v>617</v>
      </c>
      <c r="L19">
        <v>6</v>
      </c>
      <c r="M19" s="1">
        <v>0</v>
      </c>
      <c r="N19">
        <v>0</v>
      </c>
      <c r="O19" t="s">
        <v>81</v>
      </c>
      <c r="P19" s="10" t="s">
        <v>12</v>
      </c>
      <c r="Q19" t="s">
        <v>12</v>
      </c>
      <c r="R19" t="s">
        <v>12</v>
      </c>
      <c r="S19" t="s">
        <v>12</v>
      </c>
      <c r="U19" s="10" t="s">
        <v>12</v>
      </c>
      <c r="V19" t="s">
        <v>12</v>
      </c>
      <c r="W19" t="s">
        <v>12</v>
      </c>
      <c r="X19" t="s">
        <v>12</v>
      </c>
      <c r="Z19" s="10" t="s">
        <v>12</v>
      </c>
      <c r="AA19" t="s">
        <v>12</v>
      </c>
      <c r="AB19" t="s">
        <v>12</v>
      </c>
      <c r="AC19" t="s">
        <v>12</v>
      </c>
      <c r="AE19" s="10" t="s">
        <v>12</v>
      </c>
      <c r="AF19" t="s">
        <v>12</v>
      </c>
      <c r="AG19" t="s">
        <v>12</v>
      </c>
      <c r="AH19" t="s">
        <v>12</v>
      </c>
      <c r="AJ19" s="10" t="s">
        <v>12</v>
      </c>
      <c r="AK19" t="s">
        <v>12</v>
      </c>
      <c r="AL19" t="s">
        <v>12</v>
      </c>
      <c r="AM19" t="s">
        <v>12</v>
      </c>
    </row>
    <row r="20" spans="1:39" x14ac:dyDescent="0.25">
      <c r="A20" t="s">
        <v>94</v>
      </c>
      <c r="C20" t="s">
        <v>95</v>
      </c>
      <c r="D20" t="s">
        <v>96</v>
      </c>
      <c r="E20" t="s">
        <v>97</v>
      </c>
      <c r="F20" t="s">
        <v>56</v>
      </c>
      <c r="G20" t="s">
        <v>98</v>
      </c>
      <c r="H20" t="s">
        <v>12</v>
      </c>
      <c r="I20" t="s">
        <v>794</v>
      </c>
      <c r="J20" s="12">
        <f t="shared" si="0"/>
        <v>0</v>
      </c>
      <c r="K20" s="10" t="s">
        <v>12</v>
      </c>
      <c r="L20" t="s">
        <v>12</v>
      </c>
      <c r="M20" t="s">
        <v>12</v>
      </c>
      <c r="N20" s="4" t="s">
        <v>12</v>
      </c>
      <c r="P20" s="10" t="s">
        <v>12</v>
      </c>
      <c r="Q20" t="s">
        <v>12</v>
      </c>
      <c r="R20" t="s">
        <v>12</v>
      </c>
      <c r="S20" t="s">
        <v>12</v>
      </c>
      <c r="U20" s="10" t="s">
        <v>12</v>
      </c>
      <c r="V20" t="s">
        <v>12</v>
      </c>
      <c r="W20" t="s">
        <v>12</v>
      </c>
      <c r="X20" t="s">
        <v>12</v>
      </c>
      <c r="Z20" s="10" t="s">
        <v>12</v>
      </c>
      <c r="AA20" t="s">
        <v>12</v>
      </c>
      <c r="AB20" t="s">
        <v>12</v>
      </c>
      <c r="AC20" t="s">
        <v>12</v>
      </c>
      <c r="AE20" s="10" t="s">
        <v>795</v>
      </c>
      <c r="AF20">
        <v>20</v>
      </c>
      <c r="AG20">
        <v>0</v>
      </c>
      <c r="AH20">
        <v>0</v>
      </c>
      <c r="AJ20" s="10" t="s">
        <v>12</v>
      </c>
      <c r="AK20" t="s">
        <v>12</v>
      </c>
      <c r="AL20" t="s">
        <v>12</v>
      </c>
      <c r="AM20" t="s">
        <v>12</v>
      </c>
    </row>
    <row r="21" spans="1:39" x14ac:dyDescent="0.25">
      <c r="A21" s="2"/>
      <c r="B21" s="2"/>
      <c r="C21" s="2" t="s">
        <v>99</v>
      </c>
      <c r="D21" s="2" t="s">
        <v>99</v>
      </c>
      <c r="E21" s="2"/>
      <c r="F21" s="2" t="s">
        <v>74</v>
      </c>
      <c r="G21" s="2"/>
      <c r="H21" s="2"/>
      <c r="I21" s="2" t="s">
        <v>100</v>
      </c>
      <c r="J21" s="13">
        <f t="shared" si="0"/>
        <v>0</v>
      </c>
      <c r="K21" s="11" t="s">
        <v>623</v>
      </c>
      <c r="L21" s="2">
        <v>47</v>
      </c>
      <c r="M21" s="2">
        <v>1</v>
      </c>
      <c r="N21" s="2">
        <v>0</v>
      </c>
      <c r="O21" s="2" t="s">
        <v>631</v>
      </c>
      <c r="P21" s="11" t="s">
        <v>12</v>
      </c>
      <c r="Q21" s="2" t="s">
        <v>12</v>
      </c>
      <c r="R21" s="2" t="s">
        <v>12</v>
      </c>
      <c r="S21" s="2" t="s">
        <v>12</v>
      </c>
      <c r="T21" s="2"/>
      <c r="U21" s="11" t="s">
        <v>12</v>
      </c>
      <c r="V21" s="2" t="s">
        <v>12</v>
      </c>
      <c r="W21" s="2" t="s">
        <v>12</v>
      </c>
      <c r="X21" s="2" t="s">
        <v>12</v>
      </c>
      <c r="Y21" s="2"/>
      <c r="Z21" s="11" t="s">
        <v>12</v>
      </c>
      <c r="AA21" s="2" t="s">
        <v>12</v>
      </c>
      <c r="AB21" s="2" t="s">
        <v>12</v>
      </c>
      <c r="AC21" s="2" t="s">
        <v>12</v>
      </c>
      <c r="AD21" s="2"/>
      <c r="AE21" s="11" t="s">
        <v>12</v>
      </c>
      <c r="AF21" s="2" t="s">
        <v>12</v>
      </c>
      <c r="AG21" s="2" t="s">
        <v>12</v>
      </c>
      <c r="AH21" s="2" t="s">
        <v>12</v>
      </c>
      <c r="AI21" s="2"/>
      <c r="AJ21" s="11" t="s">
        <v>12</v>
      </c>
      <c r="AK21" s="2" t="s">
        <v>12</v>
      </c>
      <c r="AL21" s="2" t="s">
        <v>12</v>
      </c>
      <c r="AM21" s="2" t="s">
        <v>12</v>
      </c>
    </row>
    <row r="22" spans="1:39" x14ac:dyDescent="0.25">
      <c r="A22" t="s">
        <v>101</v>
      </c>
      <c r="C22" t="s">
        <v>102</v>
      </c>
      <c r="D22" t="s">
        <v>103</v>
      </c>
      <c r="E22" t="s">
        <v>104</v>
      </c>
      <c r="F22" t="s">
        <v>105</v>
      </c>
      <c r="I22">
        <v>1</v>
      </c>
      <c r="J22" s="12">
        <f t="shared" si="0"/>
        <v>0</v>
      </c>
      <c r="K22" s="10" t="s">
        <v>916</v>
      </c>
      <c r="L22">
        <v>2409</v>
      </c>
      <c r="M22" s="1">
        <v>0</v>
      </c>
      <c r="N22">
        <v>0</v>
      </c>
      <c r="O22" t="s">
        <v>106</v>
      </c>
      <c r="P22" s="10" t="s">
        <v>917</v>
      </c>
      <c r="Q22">
        <v>11</v>
      </c>
      <c r="R22">
        <v>0</v>
      </c>
      <c r="S22">
        <v>0</v>
      </c>
      <c r="U22" s="10" t="s">
        <v>918</v>
      </c>
      <c r="V22">
        <v>2</v>
      </c>
      <c r="W22">
        <v>0</v>
      </c>
      <c r="X22">
        <v>0</v>
      </c>
      <c r="Z22" s="10" t="s">
        <v>12</v>
      </c>
      <c r="AA22" t="s">
        <v>12</v>
      </c>
      <c r="AB22" t="s">
        <v>12</v>
      </c>
      <c r="AC22" t="s">
        <v>12</v>
      </c>
      <c r="AE22" s="10" t="s">
        <v>12</v>
      </c>
      <c r="AF22" t="s">
        <v>12</v>
      </c>
      <c r="AG22" t="s">
        <v>12</v>
      </c>
      <c r="AH22" t="s">
        <v>12</v>
      </c>
      <c r="AJ22" s="10" t="s">
        <v>12</v>
      </c>
      <c r="AK22" t="s">
        <v>12</v>
      </c>
      <c r="AL22" t="s">
        <v>12</v>
      </c>
      <c r="AM22" t="s">
        <v>12</v>
      </c>
    </row>
    <row r="23" spans="1:39" x14ac:dyDescent="0.25">
      <c r="A23" t="s">
        <v>107</v>
      </c>
      <c r="C23" t="s">
        <v>108</v>
      </c>
      <c r="D23" t="s">
        <v>109</v>
      </c>
      <c r="E23" t="s">
        <v>110</v>
      </c>
      <c r="F23" t="s">
        <v>74</v>
      </c>
      <c r="I23">
        <v>1</v>
      </c>
      <c r="J23" s="12">
        <f t="shared" si="0"/>
        <v>0</v>
      </c>
      <c r="K23" s="10" t="s">
        <v>618</v>
      </c>
      <c r="L23">
        <v>45</v>
      </c>
      <c r="M23" s="1">
        <v>0</v>
      </c>
      <c r="N23">
        <v>0</v>
      </c>
      <c r="O23" t="s">
        <v>81</v>
      </c>
      <c r="P23" s="10" t="s">
        <v>12</v>
      </c>
      <c r="Q23" t="s">
        <v>12</v>
      </c>
      <c r="R23" t="s">
        <v>12</v>
      </c>
      <c r="S23" t="s">
        <v>12</v>
      </c>
      <c r="U23" s="10" t="s">
        <v>12</v>
      </c>
      <c r="V23" t="s">
        <v>12</v>
      </c>
      <c r="W23" t="s">
        <v>12</v>
      </c>
      <c r="X23" t="s">
        <v>12</v>
      </c>
      <c r="Z23" s="10" t="s">
        <v>12</v>
      </c>
      <c r="AA23" t="s">
        <v>12</v>
      </c>
      <c r="AB23" t="s">
        <v>12</v>
      </c>
      <c r="AC23" t="s">
        <v>12</v>
      </c>
      <c r="AE23" s="10" t="s">
        <v>12</v>
      </c>
      <c r="AF23" t="s">
        <v>12</v>
      </c>
      <c r="AG23" t="s">
        <v>12</v>
      </c>
      <c r="AH23" t="s">
        <v>12</v>
      </c>
      <c r="AJ23" s="10" t="s">
        <v>12</v>
      </c>
      <c r="AK23" t="s">
        <v>12</v>
      </c>
      <c r="AL23" t="s">
        <v>12</v>
      </c>
      <c r="AM23" t="s">
        <v>12</v>
      </c>
    </row>
    <row r="24" spans="1:39" x14ac:dyDescent="0.25">
      <c r="A24" t="s">
        <v>111</v>
      </c>
      <c r="C24" t="s">
        <v>112</v>
      </c>
      <c r="D24" t="s">
        <v>113</v>
      </c>
      <c r="E24" t="s">
        <v>114</v>
      </c>
      <c r="F24" t="s">
        <v>115</v>
      </c>
      <c r="I24">
        <v>1</v>
      </c>
      <c r="J24" s="12">
        <f t="shared" si="0"/>
        <v>0</v>
      </c>
      <c r="K24" s="10" t="s">
        <v>619</v>
      </c>
      <c r="L24">
        <v>51</v>
      </c>
      <c r="M24" s="1">
        <v>0</v>
      </c>
      <c r="N24">
        <v>0</v>
      </c>
      <c r="O24" t="s">
        <v>81</v>
      </c>
      <c r="P24" s="10" t="s">
        <v>12</v>
      </c>
      <c r="Q24" t="s">
        <v>12</v>
      </c>
      <c r="R24" t="s">
        <v>12</v>
      </c>
      <c r="S24" t="s">
        <v>12</v>
      </c>
      <c r="U24" s="10" t="s">
        <v>12</v>
      </c>
      <c r="V24" t="s">
        <v>12</v>
      </c>
      <c r="W24" t="s">
        <v>12</v>
      </c>
      <c r="X24" t="s">
        <v>12</v>
      </c>
      <c r="Z24" s="10" t="s">
        <v>12</v>
      </c>
      <c r="AA24" t="s">
        <v>12</v>
      </c>
      <c r="AB24" t="s">
        <v>12</v>
      </c>
      <c r="AC24" t="s">
        <v>12</v>
      </c>
      <c r="AE24" s="10" t="s">
        <v>12</v>
      </c>
      <c r="AF24" t="s">
        <v>12</v>
      </c>
      <c r="AG24" t="s">
        <v>12</v>
      </c>
      <c r="AH24" t="s">
        <v>12</v>
      </c>
      <c r="AJ24" s="10" t="s">
        <v>12</v>
      </c>
      <c r="AK24" t="s">
        <v>12</v>
      </c>
      <c r="AL24" t="s">
        <v>12</v>
      </c>
      <c r="AM24" t="s">
        <v>12</v>
      </c>
    </row>
    <row r="25" spans="1:39" x14ac:dyDescent="0.25">
      <c r="A25" t="s">
        <v>111</v>
      </c>
      <c r="C25" t="s">
        <v>112</v>
      </c>
      <c r="D25" t="s">
        <v>113</v>
      </c>
      <c r="E25" t="s">
        <v>114</v>
      </c>
      <c r="F25" t="s">
        <v>115</v>
      </c>
      <c r="I25" t="s">
        <v>257</v>
      </c>
      <c r="J25" s="12">
        <f t="shared" si="0"/>
        <v>0</v>
      </c>
      <c r="K25" s="10" t="s">
        <v>620</v>
      </c>
      <c r="L25">
        <v>16</v>
      </c>
      <c r="M25" s="1">
        <v>0</v>
      </c>
      <c r="N25">
        <v>0</v>
      </c>
      <c r="O25" t="s">
        <v>81</v>
      </c>
      <c r="P25" s="10" t="s">
        <v>12</v>
      </c>
      <c r="Q25" t="s">
        <v>12</v>
      </c>
      <c r="R25" t="s">
        <v>12</v>
      </c>
      <c r="S25" t="s">
        <v>12</v>
      </c>
      <c r="U25" s="10" t="s">
        <v>12</v>
      </c>
      <c r="V25" t="s">
        <v>12</v>
      </c>
      <c r="W25" t="s">
        <v>12</v>
      </c>
      <c r="X25" t="s">
        <v>12</v>
      </c>
      <c r="Z25" s="10" t="s">
        <v>12</v>
      </c>
      <c r="AA25" t="s">
        <v>12</v>
      </c>
      <c r="AB25" t="s">
        <v>12</v>
      </c>
      <c r="AC25" t="s">
        <v>12</v>
      </c>
      <c r="AE25" s="10" t="s">
        <v>12</v>
      </c>
      <c r="AF25" t="s">
        <v>12</v>
      </c>
      <c r="AG25" t="s">
        <v>12</v>
      </c>
      <c r="AH25" t="s">
        <v>12</v>
      </c>
      <c r="AJ25" s="10" t="s">
        <v>12</v>
      </c>
      <c r="AK25" t="s">
        <v>12</v>
      </c>
      <c r="AL25" t="s">
        <v>12</v>
      </c>
      <c r="AM25" t="s">
        <v>12</v>
      </c>
    </row>
    <row r="26" spans="1:39" x14ac:dyDescent="0.25">
      <c r="A26" t="s">
        <v>116</v>
      </c>
      <c r="C26" t="s">
        <v>117</v>
      </c>
      <c r="D26" t="s">
        <v>118</v>
      </c>
      <c r="E26" t="s">
        <v>119</v>
      </c>
      <c r="F26" t="s">
        <v>115</v>
      </c>
      <c r="I26" t="s">
        <v>257</v>
      </c>
      <c r="J26" s="12">
        <f t="shared" si="0"/>
        <v>3</v>
      </c>
      <c r="K26" s="10" t="s">
        <v>621</v>
      </c>
      <c r="L26">
        <v>2</v>
      </c>
      <c r="M26" s="3">
        <v>1</v>
      </c>
      <c r="N26">
        <v>3</v>
      </c>
      <c r="O26" t="s">
        <v>661</v>
      </c>
      <c r="P26" s="10" t="s">
        <v>12</v>
      </c>
      <c r="Q26" t="s">
        <v>12</v>
      </c>
      <c r="R26" t="s">
        <v>12</v>
      </c>
      <c r="S26" t="s">
        <v>12</v>
      </c>
      <c r="U26" s="10" t="s">
        <v>12</v>
      </c>
      <c r="V26" t="s">
        <v>12</v>
      </c>
      <c r="W26" t="s">
        <v>12</v>
      </c>
      <c r="X26" t="s">
        <v>12</v>
      </c>
      <c r="Z26" s="10" t="s">
        <v>12</v>
      </c>
      <c r="AA26" t="s">
        <v>12</v>
      </c>
      <c r="AB26" t="s">
        <v>12</v>
      </c>
      <c r="AC26" t="s">
        <v>12</v>
      </c>
      <c r="AE26" s="10" t="s">
        <v>12</v>
      </c>
      <c r="AF26" t="s">
        <v>12</v>
      </c>
      <c r="AG26" t="s">
        <v>12</v>
      </c>
      <c r="AH26" t="s">
        <v>12</v>
      </c>
      <c r="AJ26" s="10" t="s">
        <v>12</v>
      </c>
      <c r="AK26" t="s">
        <v>12</v>
      </c>
      <c r="AL26" t="s">
        <v>12</v>
      </c>
      <c r="AM26" t="s">
        <v>12</v>
      </c>
    </row>
    <row r="27" spans="1:39" x14ac:dyDescent="0.25">
      <c r="A27" t="s">
        <v>116</v>
      </c>
      <c r="C27" t="s">
        <v>117</v>
      </c>
      <c r="D27" t="s">
        <v>118</v>
      </c>
      <c r="E27" t="s">
        <v>119</v>
      </c>
      <c r="F27" t="s">
        <v>115</v>
      </c>
      <c r="I27">
        <v>1</v>
      </c>
      <c r="J27" s="12">
        <f t="shared" si="0"/>
        <v>0</v>
      </c>
      <c r="K27" s="10" t="s">
        <v>12</v>
      </c>
      <c r="L27" t="s">
        <v>12</v>
      </c>
      <c r="M27" s="2" t="s">
        <v>12</v>
      </c>
      <c r="N27" t="s">
        <v>12</v>
      </c>
      <c r="P27" s="10" t="s">
        <v>12</v>
      </c>
      <c r="Q27" t="s">
        <v>12</v>
      </c>
      <c r="R27" t="s">
        <v>12</v>
      </c>
      <c r="S27" t="s">
        <v>12</v>
      </c>
      <c r="U27" s="10" t="s">
        <v>12</v>
      </c>
      <c r="V27" t="s">
        <v>12</v>
      </c>
      <c r="W27" t="s">
        <v>12</v>
      </c>
      <c r="X27" t="s">
        <v>12</v>
      </c>
      <c r="Z27" s="10" t="s">
        <v>12</v>
      </c>
      <c r="AA27" t="s">
        <v>12</v>
      </c>
      <c r="AB27" t="s">
        <v>12</v>
      </c>
      <c r="AC27" t="s">
        <v>12</v>
      </c>
      <c r="AE27" s="10" t="s">
        <v>622</v>
      </c>
      <c r="AF27">
        <v>5</v>
      </c>
      <c r="AG27">
        <v>0</v>
      </c>
      <c r="AH27">
        <v>0</v>
      </c>
      <c r="AJ27" s="10" t="s">
        <v>12</v>
      </c>
      <c r="AK27" t="s">
        <v>12</v>
      </c>
      <c r="AL27" t="s">
        <v>12</v>
      </c>
      <c r="AM27" t="s">
        <v>12</v>
      </c>
    </row>
    <row r="28" spans="1:39" x14ac:dyDescent="0.25">
      <c r="A28" t="s">
        <v>120</v>
      </c>
      <c r="C28" t="s">
        <v>121</v>
      </c>
      <c r="D28" t="s">
        <v>122</v>
      </c>
      <c r="E28" t="s">
        <v>123</v>
      </c>
      <c r="F28" t="s">
        <v>56</v>
      </c>
      <c r="G28" t="s">
        <v>643</v>
      </c>
      <c r="H28" t="s">
        <v>12</v>
      </c>
      <c r="I28" t="s">
        <v>124</v>
      </c>
      <c r="J28" s="12">
        <f t="shared" si="0"/>
        <v>3</v>
      </c>
      <c r="K28" s="10" t="s">
        <v>624</v>
      </c>
      <c r="L28">
        <v>94</v>
      </c>
      <c r="M28" s="3">
        <v>1</v>
      </c>
      <c r="N28">
        <v>3</v>
      </c>
      <c r="O28" t="s">
        <v>661</v>
      </c>
      <c r="P28" s="10" t="s">
        <v>12</v>
      </c>
      <c r="Q28" t="s">
        <v>12</v>
      </c>
      <c r="R28" t="s">
        <v>12</v>
      </c>
      <c r="S28" t="s">
        <v>12</v>
      </c>
      <c r="U28" s="10" t="s">
        <v>12</v>
      </c>
      <c r="V28" t="s">
        <v>12</v>
      </c>
      <c r="W28" t="s">
        <v>12</v>
      </c>
      <c r="X28" t="s">
        <v>12</v>
      </c>
      <c r="Z28" s="10" t="s">
        <v>12</v>
      </c>
      <c r="AA28" t="s">
        <v>12</v>
      </c>
      <c r="AB28" t="s">
        <v>12</v>
      </c>
      <c r="AC28" t="s">
        <v>12</v>
      </c>
      <c r="AE28" s="10" t="s">
        <v>12</v>
      </c>
      <c r="AF28" t="s">
        <v>12</v>
      </c>
      <c r="AG28" t="s">
        <v>12</v>
      </c>
      <c r="AH28" t="s">
        <v>12</v>
      </c>
      <c r="AJ28" s="10" t="s">
        <v>12</v>
      </c>
      <c r="AK28" t="s">
        <v>12</v>
      </c>
      <c r="AL28" t="s">
        <v>12</v>
      </c>
      <c r="AM28" t="s">
        <v>12</v>
      </c>
    </row>
    <row r="29" spans="1:39" x14ac:dyDescent="0.25">
      <c r="A29" s="2" t="s">
        <v>125</v>
      </c>
      <c r="B29" s="2"/>
      <c r="C29" s="2" t="s">
        <v>126</v>
      </c>
      <c r="D29" s="2" t="s">
        <v>127</v>
      </c>
      <c r="E29" s="2" t="s">
        <v>128</v>
      </c>
      <c r="F29" s="2" t="s">
        <v>68</v>
      </c>
      <c r="G29" s="2"/>
      <c r="H29" s="2"/>
      <c r="I29" s="2" t="s">
        <v>67</v>
      </c>
      <c r="J29" s="13">
        <f t="shared" si="0"/>
        <v>0</v>
      </c>
      <c r="K29" s="11" t="s">
        <v>607</v>
      </c>
      <c r="L29" s="2">
        <v>4</v>
      </c>
      <c r="M29" s="2">
        <v>1</v>
      </c>
      <c r="N29" s="2">
        <v>0</v>
      </c>
      <c r="O29" s="2" t="s">
        <v>58</v>
      </c>
      <c r="P29" s="11" t="s">
        <v>12</v>
      </c>
      <c r="Q29" s="2" t="s">
        <v>12</v>
      </c>
      <c r="R29" s="2" t="s">
        <v>12</v>
      </c>
      <c r="S29" s="2" t="s">
        <v>12</v>
      </c>
      <c r="T29" s="2"/>
      <c r="U29" s="11" t="s">
        <v>12</v>
      </c>
      <c r="V29" s="2" t="s">
        <v>12</v>
      </c>
      <c r="W29" s="2" t="s">
        <v>12</v>
      </c>
      <c r="X29" s="2" t="s">
        <v>12</v>
      </c>
      <c r="Y29" s="2"/>
      <c r="Z29" s="11" t="s">
        <v>12</v>
      </c>
      <c r="AA29" s="2" t="s">
        <v>12</v>
      </c>
      <c r="AB29" s="2" t="s">
        <v>12</v>
      </c>
      <c r="AC29" s="2" t="s">
        <v>12</v>
      </c>
      <c r="AD29" s="2"/>
      <c r="AE29" s="11" t="s">
        <v>12</v>
      </c>
      <c r="AF29" s="2" t="s">
        <v>12</v>
      </c>
      <c r="AG29" s="2" t="s">
        <v>12</v>
      </c>
      <c r="AH29" s="2" t="s">
        <v>12</v>
      </c>
      <c r="AI29" s="2"/>
      <c r="AJ29" s="11" t="s">
        <v>12</v>
      </c>
      <c r="AK29" s="2" t="s">
        <v>12</v>
      </c>
      <c r="AL29" s="2" t="s">
        <v>12</v>
      </c>
      <c r="AM29" s="2" t="s">
        <v>12</v>
      </c>
    </row>
    <row r="30" spans="1:39" x14ac:dyDescent="0.25">
      <c r="A30" t="s">
        <v>13</v>
      </c>
      <c r="C30" t="s">
        <v>129</v>
      </c>
      <c r="D30" t="s">
        <v>130</v>
      </c>
      <c r="E30" t="s">
        <v>131</v>
      </c>
      <c r="F30" t="s">
        <v>132</v>
      </c>
      <c r="I30">
        <v>1</v>
      </c>
      <c r="J30" s="12">
        <f t="shared" si="0"/>
        <v>0</v>
      </c>
      <c r="K30" s="10" t="s">
        <v>12</v>
      </c>
      <c r="L30" t="s">
        <v>12</v>
      </c>
      <c r="M30" s="2" t="s">
        <v>12</v>
      </c>
      <c r="N30" t="s">
        <v>12</v>
      </c>
      <c r="P30" s="10" t="s">
        <v>12</v>
      </c>
      <c r="Q30" t="s">
        <v>12</v>
      </c>
      <c r="R30" t="s">
        <v>12</v>
      </c>
      <c r="S30" t="s">
        <v>12</v>
      </c>
      <c r="U30" s="10" t="s">
        <v>12</v>
      </c>
      <c r="V30" t="s">
        <v>12</v>
      </c>
      <c r="W30" t="s">
        <v>12</v>
      </c>
      <c r="X30" t="s">
        <v>12</v>
      </c>
      <c r="Z30" s="10" t="s">
        <v>12</v>
      </c>
      <c r="AA30" t="s">
        <v>12</v>
      </c>
      <c r="AB30" t="s">
        <v>12</v>
      </c>
      <c r="AC30" t="s">
        <v>12</v>
      </c>
      <c r="AE30" s="10" t="s">
        <v>625</v>
      </c>
      <c r="AF30">
        <v>28</v>
      </c>
      <c r="AG30">
        <v>0</v>
      </c>
      <c r="AH30">
        <v>0</v>
      </c>
      <c r="AJ30" s="10" t="s">
        <v>12</v>
      </c>
      <c r="AK30" t="s">
        <v>12</v>
      </c>
      <c r="AL30" t="s">
        <v>12</v>
      </c>
      <c r="AM30" t="s">
        <v>12</v>
      </c>
    </row>
    <row r="31" spans="1:39" x14ac:dyDescent="0.25">
      <c r="A31" t="s">
        <v>133</v>
      </c>
      <c r="C31" t="s">
        <v>134</v>
      </c>
      <c r="D31" t="s">
        <v>135</v>
      </c>
      <c r="E31" t="s">
        <v>136</v>
      </c>
      <c r="F31" t="s">
        <v>115</v>
      </c>
      <c r="I31" t="s">
        <v>137</v>
      </c>
      <c r="J31" s="12">
        <f t="shared" si="0"/>
        <v>2</v>
      </c>
      <c r="K31" s="10" t="s">
        <v>626</v>
      </c>
      <c r="L31">
        <v>3</v>
      </c>
      <c r="M31" s="3">
        <v>1</v>
      </c>
      <c r="N31">
        <v>2</v>
      </c>
      <c r="O31" t="s">
        <v>662</v>
      </c>
      <c r="P31" s="10" t="s">
        <v>12</v>
      </c>
      <c r="Q31" t="s">
        <v>12</v>
      </c>
      <c r="R31" t="s">
        <v>12</v>
      </c>
      <c r="S31" t="s">
        <v>12</v>
      </c>
      <c r="U31" s="10" t="s">
        <v>12</v>
      </c>
      <c r="V31" t="s">
        <v>12</v>
      </c>
      <c r="W31" t="s">
        <v>12</v>
      </c>
      <c r="X31" t="s">
        <v>12</v>
      </c>
      <c r="Z31" s="10" t="s">
        <v>12</v>
      </c>
      <c r="AA31" t="s">
        <v>12</v>
      </c>
      <c r="AB31" t="s">
        <v>12</v>
      </c>
      <c r="AC31" t="s">
        <v>12</v>
      </c>
      <c r="AE31" s="10" t="s">
        <v>12</v>
      </c>
      <c r="AF31" t="s">
        <v>12</v>
      </c>
      <c r="AG31" t="s">
        <v>12</v>
      </c>
      <c r="AH31" t="s">
        <v>12</v>
      </c>
      <c r="AJ31" s="10" t="s">
        <v>12</v>
      </c>
      <c r="AK31" t="s">
        <v>12</v>
      </c>
      <c r="AL31" t="s">
        <v>12</v>
      </c>
      <c r="AM31" t="s">
        <v>12</v>
      </c>
    </row>
    <row r="32" spans="1:39" x14ac:dyDescent="0.25">
      <c r="A32" t="s">
        <v>138</v>
      </c>
      <c r="C32" t="s">
        <v>139</v>
      </c>
      <c r="D32" t="s">
        <v>140</v>
      </c>
      <c r="E32" t="s">
        <v>141</v>
      </c>
      <c r="F32" t="s">
        <v>24</v>
      </c>
      <c r="I32" t="s">
        <v>25</v>
      </c>
      <c r="J32" s="12">
        <f t="shared" si="0"/>
        <v>0</v>
      </c>
      <c r="K32" s="10" t="s">
        <v>12</v>
      </c>
      <c r="L32" t="s">
        <v>12</v>
      </c>
      <c r="M32" s="2" t="s">
        <v>12</v>
      </c>
      <c r="N32" t="s">
        <v>12</v>
      </c>
      <c r="P32" s="10" t="s">
        <v>12</v>
      </c>
      <c r="Q32" t="s">
        <v>12</v>
      </c>
      <c r="R32" t="s">
        <v>12</v>
      </c>
      <c r="S32" t="s">
        <v>12</v>
      </c>
      <c r="U32" s="10" t="s">
        <v>12</v>
      </c>
      <c r="V32" t="s">
        <v>12</v>
      </c>
      <c r="W32" t="s">
        <v>12</v>
      </c>
      <c r="X32" t="s">
        <v>12</v>
      </c>
      <c r="Z32" s="10" t="s">
        <v>12</v>
      </c>
      <c r="AA32" t="s">
        <v>12</v>
      </c>
      <c r="AB32" t="s">
        <v>12</v>
      </c>
      <c r="AC32" t="s">
        <v>12</v>
      </c>
      <c r="AE32" s="10" t="s">
        <v>627</v>
      </c>
      <c r="AF32">
        <v>1211</v>
      </c>
      <c r="AG32">
        <v>0</v>
      </c>
      <c r="AH32">
        <v>0</v>
      </c>
      <c r="AJ32" s="10" t="s">
        <v>12</v>
      </c>
      <c r="AK32" t="s">
        <v>12</v>
      </c>
      <c r="AL32" t="s">
        <v>12</v>
      </c>
      <c r="AM32" t="s">
        <v>12</v>
      </c>
    </row>
    <row r="33" spans="1:39" x14ac:dyDescent="0.25">
      <c r="A33" t="s">
        <v>142</v>
      </c>
      <c r="C33" t="s">
        <v>143</v>
      </c>
      <c r="D33" t="s">
        <v>144</v>
      </c>
      <c r="E33" t="s">
        <v>145</v>
      </c>
      <c r="F33" t="s">
        <v>38</v>
      </c>
      <c r="G33" t="s">
        <v>713</v>
      </c>
      <c r="H33" t="s">
        <v>12</v>
      </c>
      <c r="I33" t="s">
        <v>39</v>
      </c>
      <c r="J33" s="12">
        <f t="shared" si="0"/>
        <v>0</v>
      </c>
      <c r="K33" s="10" t="s">
        <v>602</v>
      </c>
      <c r="L33">
        <v>1764</v>
      </c>
      <c r="M33">
        <v>1</v>
      </c>
      <c r="N33" s="7">
        <v>0</v>
      </c>
      <c r="O33" t="s">
        <v>665</v>
      </c>
      <c r="P33" s="10" t="s">
        <v>12</v>
      </c>
      <c r="Q33" t="s">
        <v>12</v>
      </c>
      <c r="R33" t="s">
        <v>12</v>
      </c>
      <c r="S33" t="s">
        <v>12</v>
      </c>
      <c r="U33" s="10" t="s">
        <v>12</v>
      </c>
      <c r="V33" t="s">
        <v>12</v>
      </c>
      <c r="W33" t="s">
        <v>12</v>
      </c>
      <c r="X33" t="s">
        <v>12</v>
      </c>
      <c r="Z33" s="10" t="s">
        <v>12</v>
      </c>
      <c r="AA33" t="s">
        <v>12</v>
      </c>
      <c r="AB33" t="s">
        <v>12</v>
      </c>
      <c r="AC33" t="s">
        <v>12</v>
      </c>
      <c r="AE33" s="10" t="s">
        <v>12</v>
      </c>
      <c r="AF33" t="s">
        <v>12</v>
      </c>
      <c r="AG33" t="s">
        <v>12</v>
      </c>
      <c r="AH33" t="s">
        <v>12</v>
      </c>
      <c r="AJ33" s="10" t="s">
        <v>12</v>
      </c>
      <c r="AK33" t="s">
        <v>12</v>
      </c>
      <c r="AL33" t="s">
        <v>12</v>
      </c>
      <c r="AM33" t="s">
        <v>12</v>
      </c>
    </row>
    <row r="34" spans="1:39" x14ac:dyDescent="0.25">
      <c r="A34" t="s">
        <v>146</v>
      </c>
      <c r="B34" t="s">
        <v>147</v>
      </c>
      <c r="C34" t="s">
        <v>148</v>
      </c>
      <c r="D34" t="s">
        <v>149</v>
      </c>
      <c r="E34" t="s">
        <v>150</v>
      </c>
      <c r="F34" t="s">
        <v>56</v>
      </c>
      <c r="I34">
        <v>1</v>
      </c>
      <c r="J34" s="12">
        <f>SUM(S34,X34,AH34)</f>
        <v>0</v>
      </c>
      <c r="K34" s="10" t="s">
        <v>12</v>
      </c>
      <c r="L34" t="s">
        <v>12</v>
      </c>
      <c r="M34" s="2" t="s">
        <v>12</v>
      </c>
      <c r="N34" t="s">
        <v>12</v>
      </c>
      <c r="P34" s="10" t="s">
        <v>628</v>
      </c>
      <c r="Q34">
        <v>138</v>
      </c>
      <c r="R34" s="4">
        <v>0</v>
      </c>
      <c r="S34">
        <v>0</v>
      </c>
      <c r="U34" s="10" t="s">
        <v>12</v>
      </c>
      <c r="V34" t="s">
        <v>12</v>
      </c>
      <c r="W34" t="s">
        <v>12</v>
      </c>
      <c r="X34" t="s">
        <v>12</v>
      </c>
      <c r="Z34" s="10" t="s">
        <v>12</v>
      </c>
      <c r="AA34" t="s">
        <v>12</v>
      </c>
      <c r="AB34" t="s">
        <v>12</v>
      </c>
      <c r="AC34" t="s">
        <v>12</v>
      </c>
      <c r="AE34" s="10" t="s">
        <v>629</v>
      </c>
      <c r="AF34">
        <v>82</v>
      </c>
      <c r="AG34">
        <v>0</v>
      </c>
      <c r="AH34">
        <v>0</v>
      </c>
      <c r="AJ34" s="10" t="s">
        <v>12</v>
      </c>
      <c r="AK34" t="s">
        <v>12</v>
      </c>
      <c r="AL34" t="s">
        <v>12</v>
      </c>
      <c r="AM34" t="s">
        <v>12</v>
      </c>
    </row>
    <row r="35" spans="1:39" x14ac:dyDescent="0.25">
      <c r="A35" t="s">
        <v>151</v>
      </c>
      <c r="C35" t="s">
        <v>152</v>
      </c>
      <c r="D35" t="s">
        <v>153</v>
      </c>
      <c r="E35" t="s">
        <v>154</v>
      </c>
      <c r="F35" t="s">
        <v>105</v>
      </c>
      <c r="I35">
        <v>1</v>
      </c>
      <c r="J35" s="12">
        <f>SUM(S35,X35,AH35)</f>
        <v>0</v>
      </c>
      <c r="K35" s="10" t="s">
        <v>12</v>
      </c>
      <c r="L35" t="s">
        <v>12</v>
      </c>
      <c r="M35" s="2" t="s">
        <v>12</v>
      </c>
      <c r="N35" t="s">
        <v>12</v>
      </c>
      <c r="P35" s="10" t="s">
        <v>632</v>
      </c>
      <c r="Q35">
        <v>4</v>
      </c>
      <c r="R35" s="4">
        <v>0</v>
      </c>
      <c r="S35">
        <v>0</v>
      </c>
      <c r="U35" s="10" t="s">
        <v>12</v>
      </c>
      <c r="V35" t="s">
        <v>12</v>
      </c>
      <c r="W35" t="s">
        <v>12</v>
      </c>
      <c r="X35" t="s">
        <v>12</v>
      </c>
      <c r="Z35" s="10" t="s">
        <v>12</v>
      </c>
      <c r="AA35" t="s">
        <v>12</v>
      </c>
      <c r="AB35" t="s">
        <v>12</v>
      </c>
      <c r="AC35" t="s">
        <v>12</v>
      </c>
      <c r="AE35" s="10" t="s">
        <v>633</v>
      </c>
      <c r="AF35">
        <v>2</v>
      </c>
      <c r="AG35">
        <v>0</v>
      </c>
      <c r="AH35">
        <v>0</v>
      </c>
      <c r="AJ35" s="10" t="s">
        <v>12</v>
      </c>
      <c r="AK35" t="s">
        <v>12</v>
      </c>
      <c r="AL35" t="s">
        <v>12</v>
      </c>
      <c r="AM35" t="s">
        <v>12</v>
      </c>
    </row>
    <row r="36" spans="1:39" x14ac:dyDescent="0.25">
      <c r="A36" t="s">
        <v>155</v>
      </c>
      <c r="C36" t="s">
        <v>641</v>
      </c>
      <c r="D36" t="s">
        <v>642</v>
      </c>
      <c r="E36" t="s">
        <v>156</v>
      </c>
      <c r="F36" t="s">
        <v>56</v>
      </c>
      <c r="G36" t="s">
        <v>98</v>
      </c>
      <c r="H36" t="s">
        <v>12</v>
      </c>
      <c r="I36" t="s">
        <v>96</v>
      </c>
      <c r="J36" s="12">
        <f t="shared" si="0"/>
        <v>2</v>
      </c>
      <c r="K36" s="10" t="s">
        <v>616</v>
      </c>
      <c r="L36">
        <v>13</v>
      </c>
      <c r="M36" s="1">
        <v>1</v>
      </c>
      <c r="N36">
        <v>2</v>
      </c>
      <c r="O36" t="s">
        <v>663</v>
      </c>
      <c r="P36" s="10" t="s">
        <v>12</v>
      </c>
      <c r="Q36" t="s">
        <v>12</v>
      </c>
      <c r="R36" t="s">
        <v>12</v>
      </c>
      <c r="S36" t="s">
        <v>12</v>
      </c>
      <c r="U36" s="10" t="s">
        <v>12</v>
      </c>
      <c r="V36" t="s">
        <v>12</v>
      </c>
      <c r="W36" t="s">
        <v>12</v>
      </c>
      <c r="X36" t="s">
        <v>12</v>
      </c>
      <c r="Z36" s="10" t="s">
        <v>12</v>
      </c>
      <c r="AA36" t="s">
        <v>12</v>
      </c>
      <c r="AB36" t="s">
        <v>12</v>
      </c>
      <c r="AC36" t="s">
        <v>12</v>
      </c>
      <c r="AE36" s="10" t="s">
        <v>12</v>
      </c>
      <c r="AF36" t="s">
        <v>12</v>
      </c>
      <c r="AG36" t="s">
        <v>12</v>
      </c>
      <c r="AH36" t="s">
        <v>12</v>
      </c>
      <c r="AJ36" s="10" t="s">
        <v>12</v>
      </c>
      <c r="AK36" t="s">
        <v>12</v>
      </c>
      <c r="AL36" t="s">
        <v>12</v>
      </c>
      <c r="AM36" t="s">
        <v>12</v>
      </c>
    </row>
    <row r="37" spans="1:39" x14ac:dyDescent="0.25">
      <c r="A37" t="s">
        <v>155</v>
      </c>
      <c r="C37" t="s">
        <v>641</v>
      </c>
      <c r="D37" t="s">
        <v>642</v>
      </c>
      <c r="E37" t="s">
        <v>156</v>
      </c>
      <c r="F37" t="s">
        <v>56</v>
      </c>
      <c r="G37" t="s">
        <v>98</v>
      </c>
      <c r="H37" t="s">
        <v>12</v>
      </c>
      <c r="I37" t="s">
        <v>96</v>
      </c>
      <c r="J37" s="12">
        <f t="shared" si="0"/>
        <v>0</v>
      </c>
      <c r="K37" s="10" t="s">
        <v>617</v>
      </c>
      <c r="L37">
        <v>6</v>
      </c>
      <c r="M37" s="1">
        <v>0</v>
      </c>
      <c r="N37">
        <v>0</v>
      </c>
      <c r="O37" t="s">
        <v>81</v>
      </c>
      <c r="P37" s="10" t="s">
        <v>12</v>
      </c>
      <c r="Q37" t="s">
        <v>12</v>
      </c>
      <c r="R37" t="s">
        <v>12</v>
      </c>
      <c r="S37" t="s">
        <v>12</v>
      </c>
      <c r="U37" s="10" t="s">
        <v>12</v>
      </c>
      <c r="V37" t="s">
        <v>12</v>
      </c>
      <c r="W37" t="s">
        <v>12</v>
      </c>
      <c r="X37" t="s">
        <v>12</v>
      </c>
      <c r="Z37" s="10" t="s">
        <v>12</v>
      </c>
      <c r="AA37" t="s">
        <v>12</v>
      </c>
      <c r="AB37" t="s">
        <v>12</v>
      </c>
      <c r="AC37" t="s">
        <v>12</v>
      </c>
      <c r="AE37" s="10" t="s">
        <v>12</v>
      </c>
      <c r="AF37" t="s">
        <v>12</v>
      </c>
      <c r="AG37" t="s">
        <v>12</v>
      </c>
      <c r="AH37" t="s">
        <v>12</v>
      </c>
      <c r="AJ37" s="10" t="s">
        <v>12</v>
      </c>
      <c r="AK37" t="s">
        <v>12</v>
      </c>
      <c r="AL37" t="s">
        <v>12</v>
      </c>
      <c r="AM37" t="s">
        <v>12</v>
      </c>
    </row>
    <row r="38" spans="1:39" x14ac:dyDescent="0.25">
      <c r="A38" t="s">
        <v>146</v>
      </c>
      <c r="C38" t="s">
        <v>157</v>
      </c>
      <c r="D38" t="s">
        <v>124</v>
      </c>
      <c r="E38" t="s">
        <v>158</v>
      </c>
      <c r="F38" t="s">
        <v>56</v>
      </c>
      <c r="G38" t="s">
        <v>640</v>
      </c>
      <c r="H38" t="s">
        <v>12</v>
      </c>
      <c r="I38">
        <v>1</v>
      </c>
      <c r="J38" s="12">
        <f>SUM(N38,AC38,AH38)</f>
        <v>3</v>
      </c>
      <c r="K38" s="10" t="s">
        <v>624</v>
      </c>
      <c r="L38">
        <v>94</v>
      </c>
      <c r="M38" s="3">
        <v>1</v>
      </c>
      <c r="N38">
        <v>3</v>
      </c>
      <c r="O38" t="s">
        <v>663</v>
      </c>
      <c r="P38" s="10" t="s">
        <v>12</v>
      </c>
      <c r="Q38" t="s">
        <v>12</v>
      </c>
      <c r="R38" t="s">
        <v>12</v>
      </c>
      <c r="S38" t="s">
        <v>12</v>
      </c>
      <c r="U38" s="10" t="s">
        <v>12</v>
      </c>
      <c r="V38" t="s">
        <v>12</v>
      </c>
      <c r="W38" t="s">
        <v>12</v>
      </c>
      <c r="X38" t="s">
        <v>12</v>
      </c>
      <c r="Z38" s="10" t="s">
        <v>634</v>
      </c>
      <c r="AA38">
        <v>41</v>
      </c>
      <c r="AB38">
        <v>0</v>
      </c>
      <c r="AC38">
        <v>0</v>
      </c>
      <c r="AE38" s="10" t="s">
        <v>12</v>
      </c>
      <c r="AF38" t="s">
        <v>12</v>
      </c>
      <c r="AG38" t="s">
        <v>12</v>
      </c>
      <c r="AH38" t="s">
        <v>12</v>
      </c>
      <c r="AJ38" s="10" t="s">
        <v>12</v>
      </c>
      <c r="AK38" t="s">
        <v>12</v>
      </c>
      <c r="AL38" t="s">
        <v>12</v>
      </c>
      <c r="AM38" t="s">
        <v>12</v>
      </c>
    </row>
    <row r="39" spans="1:39" x14ac:dyDescent="0.25">
      <c r="A39" t="s">
        <v>146</v>
      </c>
      <c r="C39" t="s">
        <v>157</v>
      </c>
      <c r="D39" t="s">
        <v>124</v>
      </c>
      <c r="E39" t="s">
        <v>158</v>
      </c>
      <c r="F39" t="s">
        <v>56</v>
      </c>
      <c r="G39" t="s">
        <v>640</v>
      </c>
      <c r="H39" t="s">
        <v>12</v>
      </c>
      <c r="I39" t="s">
        <v>180</v>
      </c>
      <c r="J39" s="12">
        <f t="shared" si="0"/>
        <v>0</v>
      </c>
      <c r="K39" s="10" t="s">
        <v>635</v>
      </c>
      <c r="L39">
        <v>82</v>
      </c>
      <c r="M39">
        <v>1</v>
      </c>
      <c r="N39" s="7">
        <v>0</v>
      </c>
      <c r="O39" t="s">
        <v>668</v>
      </c>
      <c r="P39" s="10" t="s">
        <v>12</v>
      </c>
      <c r="Q39" t="s">
        <v>12</v>
      </c>
      <c r="R39" t="s">
        <v>12</v>
      </c>
      <c r="S39" t="s">
        <v>12</v>
      </c>
      <c r="U39" s="10" t="s">
        <v>12</v>
      </c>
      <c r="V39" t="s">
        <v>12</v>
      </c>
      <c r="W39" t="s">
        <v>12</v>
      </c>
      <c r="X39" t="s">
        <v>12</v>
      </c>
      <c r="Z39" s="10" t="s">
        <v>12</v>
      </c>
      <c r="AA39" t="s">
        <v>12</v>
      </c>
      <c r="AB39" t="s">
        <v>12</v>
      </c>
      <c r="AC39" t="s">
        <v>12</v>
      </c>
      <c r="AE39" s="10" t="s">
        <v>12</v>
      </c>
      <c r="AF39" t="s">
        <v>12</v>
      </c>
      <c r="AG39" t="s">
        <v>12</v>
      </c>
      <c r="AH39" t="s">
        <v>12</v>
      </c>
      <c r="AJ39" s="10" t="s">
        <v>12</v>
      </c>
      <c r="AK39" t="s">
        <v>12</v>
      </c>
      <c r="AL39" t="s">
        <v>12</v>
      </c>
      <c r="AM39" t="s">
        <v>12</v>
      </c>
    </row>
    <row r="40" spans="1:39" x14ac:dyDescent="0.25">
      <c r="A40" t="s">
        <v>159</v>
      </c>
      <c r="C40" t="s">
        <v>160</v>
      </c>
      <c r="D40" t="s">
        <v>161</v>
      </c>
      <c r="E40" t="s">
        <v>639</v>
      </c>
      <c r="F40" t="s">
        <v>56</v>
      </c>
      <c r="I40">
        <v>1</v>
      </c>
      <c r="J40" s="12">
        <f t="shared" si="0"/>
        <v>0</v>
      </c>
      <c r="K40" s="10" t="s">
        <v>12</v>
      </c>
      <c r="L40" t="s">
        <v>12</v>
      </c>
      <c r="M40" s="2" t="s">
        <v>12</v>
      </c>
      <c r="N40" t="s">
        <v>12</v>
      </c>
      <c r="P40" s="10" t="s">
        <v>12</v>
      </c>
      <c r="Q40" t="s">
        <v>12</v>
      </c>
      <c r="R40" t="s">
        <v>12</v>
      </c>
      <c r="S40" t="s">
        <v>12</v>
      </c>
      <c r="U40" s="10" t="s">
        <v>12</v>
      </c>
      <c r="V40" t="s">
        <v>12</v>
      </c>
      <c r="W40" t="s">
        <v>12</v>
      </c>
      <c r="X40" t="s">
        <v>12</v>
      </c>
      <c r="Z40" s="10" t="s">
        <v>12</v>
      </c>
      <c r="AA40" t="s">
        <v>12</v>
      </c>
      <c r="AB40" t="s">
        <v>12</v>
      </c>
      <c r="AC40" t="s">
        <v>12</v>
      </c>
      <c r="AE40" s="10" t="s">
        <v>636</v>
      </c>
      <c r="AF40">
        <v>7</v>
      </c>
      <c r="AG40">
        <v>0</v>
      </c>
      <c r="AH40">
        <v>0</v>
      </c>
      <c r="AJ40" s="10" t="s">
        <v>12</v>
      </c>
      <c r="AK40" t="s">
        <v>12</v>
      </c>
      <c r="AL40" t="s">
        <v>12</v>
      </c>
      <c r="AM40" t="s">
        <v>12</v>
      </c>
    </row>
    <row r="41" spans="1:39" x14ac:dyDescent="0.25">
      <c r="A41" t="s">
        <v>162</v>
      </c>
      <c r="C41" t="s">
        <v>163</v>
      </c>
      <c r="D41" t="s">
        <v>164</v>
      </c>
      <c r="E41" t="s">
        <v>638</v>
      </c>
      <c r="F41" t="s">
        <v>24</v>
      </c>
      <c r="I41" t="s">
        <v>44</v>
      </c>
      <c r="J41" s="12">
        <f t="shared" si="0"/>
        <v>0</v>
      </c>
      <c r="K41" s="10" t="s">
        <v>12</v>
      </c>
      <c r="L41" t="s">
        <v>12</v>
      </c>
      <c r="M41" s="2" t="s">
        <v>12</v>
      </c>
      <c r="N41" t="s">
        <v>12</v>
      </c>
      <c r="P41" s="10" t="s">
        <v>12</v>
      </c>
      <c r="Q41" t="s">
        <v>12</v>
      </c>
      <c r="R41" t="s">
        <v>12</v>
      </c>
      <c r="S41" t="s">
        <v>12</v>
      </c>
      <c r="U41" s="10" t="s">
        <v>12</v>
      </c>
      <c r="V41" t="s">
        <v>12</v>
      </c>
      <c r="W41" t="s">
        <v>12</v>
      </c>
      <c r="X41" t="s">
        <v>12</v>
      </c>
      <c r="Z41" s="10" t="s">
        <v>12</v>
      </c>
      <c r="AA41" t="s">
        <v>12</v>
      </c>
      <c r="AB41" t="s">
        <v>12</v>
      </c>
      <c r="AC41" t="s">
        <v>12</v>
      </c>
      <c r="AE41" s="10" t="s">
        <v>637</v>
      </c>
      <c r="AF41">
        <v>13</v>
      </c>
      <c r="AG41">
        <v>0</v>
      </c>
      <c r="AH41">
        <v>0</v>
      </c>
      <c r="AJ41" s="10" t="s">
        <v>12</v>
      </c>
      <c r="AK41" t="s">
        <v>12</v>
      </c>
      <c r="AL41" t="s">
        <v>12</v>
      </c>
      <c r="AM41" t="s">
        <v>12</v>
      </c>
    </row>
    <row r="42" spans="1:39" x14ac:dyDescent="0.25">
      <c r="A42" t="s">
        <v>165</v>
      </c>
      <c r="C42" t="s">
        <v>166</v>
      </c>
      <c r="D42" t="s">
        <v>167</v>
      </c>
      <c r="E42" t="s">
        <v>644</v>
      </c>
      <c r="F42" t="s">
        <v>68</v>
      </c>
      <c r="I42" t="s">
        <v>528</v>
      </c>
      <c r="J42" s="12">
        <f>SUM(N42,AC42,AH42)</f>
        <v>0</v>
      </c>
      <c r="K42" s="10" t="s">
        <v>12</v>
      </c>
      <c r="L42" t="s">
        <v>12</v>
      </c>
      <c r="M42" s="2" t="s">
        <v>12</v>
      </c>
      <c r="N42" t="s">
        <v>12</v>
      </c>
      <c r="P42" s="10" t="s">
        <v>12</v>
      </c>
      <c r="Q42" t="s">
        <v>12</v>
      </c>
      <c r="R42" t="s">
        <v>12</v>
      </c>
      <c r="S42" t="s">
        <v>12</v>
      </c>
      <c r="U42" s="10" t="s">
        <v>12</v>
      </c>
      <c r="V42" t="s">
        <v>12</v>
      </c>
      <c r="W42" t="s">
        <v>12</v>
      </c>
      <c r="X42" t="s">
        <v>12</v>
      </c>
      <c r="Z42" s="10" t="s">
        <v>645</v>
      </c>
      <c r="AA42">
        <v>10</v>
      </c>
      <c r="AB42">
        <v>0</v>
      </c>
      <c r="AC42">
        <v>0</v>
      </c>
      <c r="AE42" s="10" t="s">
        <v>12</v>
      </c>
      <c r="AF42" t="s">
        <v>12</v>
      </c>
      <c r="AG42" t="s">
        <v>12</v>
      </c>
      <c r="AH42" t="s">
        <v>12</v>
      </c>
      <c r="AJ42" s="10" t="s">
        <v>12</v>
      </c>
      <c r="AK42" t="s">
        <v>12</v>
      </c>
      <c r="AL42" t="s">
        <v>12</v>
      </c>
      <c r="AM42" t="s">
        <v>12</v>
      </c>
    </row>
    <row r="43" spans="1:39" x14ac:dyDescent="0.25">
      <c r="A43" t="s">
        <v>168</v>
      </c>
      <c r="C43" t="s">
        <v>646</v>
      </c>
      <c r="D43" t="s">
        <v>647</v>
      </c>
      <c r="E43" t="s">
        <v>650</v>
      </c>
      <c r="F43" t="s">
        <v>649</v>
      </c>
      <c r="I43" t="s">
        <v>214</v>
      </c>
      <c r="J43" s="12">
        <f t="shared" si="0"/>
        <v>0</v>
      </c>
      <c r="K43" s="10" t="s">
        <v>648</v>
      </c>
      <c r="L43">
        <v>14</v>
      </c>
      <c r="M43" s="1">
        <v>0</v>
      </c>
      <c r="N43">
        <v>0</v>
      </c>
      <c r="O43" t="s">
        <v>81</v>
      </c>
      <c r="P43" s="10" t="s">
        <v>12</v>
      </c>
      <c r="Q43" t="s">
        <v>12</v>
      </c>
      <c r="R43" t="s">
        <v>12</v>
      </c>
      <c r="S43" t="s">
        <v>12</v>
      </c>
      <c r="U43" s="10" t="s">
        <v>12</v>
      </c>
      <c r="V43" t="s">
        <v>12</v>
      </c>
      <c r="W43" t="s">
        <v>12</v>
      </c>
      <c r="X43" t="s">
        <v>12</v>
      </c>
      <c r="Z43" s="10" t="s">
        <v>12</v>
      </c>
      <c r="AA43" t="s">
        <v>12</v>
      </c>
      <c r="AB43" t="s">
        <v>12</v>
      </c>
      <c r="AC43" t="s">
        <v>12</v>
      </c>
      <c r="AE43" s="10" t="s">
        <v>12</v>
      </c>
      <c r="AF43" t="s">
        <v>12</v>
      </c>
      <c r="AG43" t="s">
        <v>12</v>
      </c>
      <c r="AH43" t="s">
        <v>12</v>
      </c>
      <c r="AJ43" s="10" t="s">
        <v>12</v>
      </c>
      <c r="AK43" t="s">
        <v>12</v>
      </c>
      <c r="AL43" t="s">
        <v>12</v>
      </c>
      <c r="AM43" t="s">
        <v>12</v>
      </c>
    </row>
    <row r="44" spans="1:39" x14ac:dyDescent="0.25">
      <c r="A44" t="s">
        <v>169</v>
      </c>
      <c r="C44" t="s">
        <v>170</v>
      </c>
      <c r="D44" t="s">
        <v>171</v>
      </c>
      <c r="E44" t="s">
        <v>651</v>
      </c>
      <c r="F44" t="s">
        <v>17</v>
      </c>
      <c r="I44">
        <v>1</v>
      </c>
      <c r="J44" s="12">
        <f t="shared" si="0"/>
        <v>0</v>
      </c>
      <c r="K44" s="10" t="s">
        <v>652</v>
      </c>
      <c r="L44">
        <v>257</v>
      </c>
      <c r="M44" s="1">
        <v>0</v>
      </c>
      <c r="N44">
        <v>0</v>
      </c>
      <c r="O44" t="s">
        <v>81</v>
      </c>
      <c r="P44" s="10" t="s">
        <v>12</v>
      </c>
      <c r="Q44" t="s">
        <v>12</v>
      </c>
      <c r="R44" t="s">
        <v>12</v>
      </c>
      <c r="S44" t="s">
        <v>12</v>
      </c>
      <c r="U44" s="10" t="s">
        <v>12</v>
      </c>
      <c r="V44" t="s">
        <v>12</v>
      </c>
      <c r="W44" t="s">
        <v>12</v>
      </c>
      <c r="X44" t="s">
        <v>12</v>
      </c>
      <c r="Z44" s="10" t="s">
        <v>12</v>
      </c>
      <c r="AA44" t="s">
        <v>12</v>
      </c>
      <c r="AB44" t="s">
        <v>12</v>
      </c>
      <c r="AC44" t="s">
        <v>12</v>
      </c>
      <c r="AE44" s="10" t="s">
        <v>12</v>
      </c>
      <c r="AF44" t="s">
        <v>12</v>
      </c>
      <c r="AG44" t="s">
        <v>12</v>
      </c>
      <c r="AH44" t="s">
        <v>12</v>
      </c>
      <c r="AJ44" s="10" t="s">
        <v>12</v>
      </c>
      <c r="AK44" t="s">
        <v>12</v>
      </c>
      <c r="AL44" t="s">
        <v>12</v>
      </c>
      <c r="AM44" t="s">
        <v>12</v>
      </c>
    </row>
    <row r="45" spans="1:39" x14ac:dyDescent="0.25">
      <c r="A45" t="s">
        <v>172</v>
      </c>
      <c r="C45" t="s">
        <v>173</v>
      </c>
      <c r="D45" t="s">
        <v>25</v>
      </c>
      <c r="E45" t="s">
        <v>174</v>
      </c>
      <c r="F45" t="s">
        <v>24</v>
      </c>
      <c r="G45" t="s">
        <v>175</v>
      </c>
      <c r="H45" t="s">
        <v>12</v>
      </c>
      <c r="I45" t="s">
        <v>258</v>
      </c>
      <c r="J45" s="12">
        <f t="shared" si="0"/>
        <v>0</v>
      </c>
      <c r="K45" s="10" t="s">
        <v>746</v>
      </c>
      <c r="L45">
        <v>1247</v>
      </c>
      <c r="M45">
        <v>1</v>
      </c>
      <c r="N45" s="7">
        <v>0</v>
      </c>
      <c r="O45" t="s">
        <v>666</v>
      </c>
      <c r="P45" s="15" t="s">
        <v>12</v>
      </c>
      <c r="Q45" s="4" t="s">
        <v>12</v>
      </c>
      <c r="R45" s="4" t="s">
        <v>12</v>
      </c>
      <c r="S45" s="4" t="s">
        <v>12</v>
      </c>
      <c r="T45" s="4"/>
      <c r="U45" s="10" t="s">
        <v>749</v>
      </c>
      <c r="V45">
        <v>510</v>
      </c>
      <c r="W45">
        <v>0</v>
      </c>
      <c r="X45">
        <v>0</v>
      </c>
      <c r="Z45" s="10" t="s">
        <v>748</v>
      </c>
      <c r="AA45">
        <v>14</v>
      </c>
      <c r="AB45">
        <v>0</v>
      </c>
      <c r="AC45">
        <v>0</v>
      </c>
      <c r="AE45" s="10" t="s">
        <v>627</v>
      </c>
      <c r="AF45">
        <v>1211</v>
      </c>
      <c r="AG45">
        <v>0</v>
      </c>
      <c r="AH45">
        <v>0</v>
      </c>
      <c r="AJ45" s="10" t="s">
        <v>12</v>
      </c>
      <c r="AK45" t="s">
        <v>12</v>
      </c>
      <c r="AL45" t="s">
        <v>12</v>
      </c>
      <c r="AM45" t="s">
        <v>12</v>
      </c>
    </row>
    <row r="46" spans="1:39" x14ac:dyDescent="0.25">
      <c r="A46" t="s">
        <v>176</v>
      </c>
      <c r="C46" t="s">
        <v>177</v>
      </c>
      <c r="D46" t="s">
        <v>178</v>
      </c>
      <c r="E46" t="s">
        <v>653</v>
      </c>
      <c r="F46" t="s">
        <v>654</v>
      </c>
      <c r="G46" t="s">
        <v>656</v>
      </c>
      <c r="H46" t="s">
        <v>657</v>
      </c>
      <c r="I46">
        <v>1</v>
      </c>
      <c r="J46" s="12">
        <f t="shared" si="0"/>
        <v>4</v>
      </c>
      <c r="K46" s="10" t="s">
        <v>655</v>
      </c>
      <c r="L46">
        <v>93</v>
      </c>
      <c r="M46" s="3">
        <v>1</v>
      </c>
      <c r="N46">
        <v>4</v>
      </c>
      <c r="O46" t="s">
        <v>664</v>
      </c>
      <c r="P46" s="15" t="s">
        <v>12</v>
      </c>
      <c r="Q46" s="4" t="s">
        <v>12</v>
      </c>
      <c r="R46" s="4" t="s">
        <v>12</v>
      </c>
      <c r="S46" s="4" t="s">
        <v>12</v>
      </c>
      <c r="T46" s="4"/>
      <c r="U46" s="15" t="s">
        <v>12</v>
      </c>
      <c r="V46" s="4" t="s">
        <v>12</v>
      </c>
      <c r="W46" s="4" t="s">
        <v>12</v>
      </c>
      <c r="X46" s="4" t="s">
        <v>12</v>
      </c>
      <c r="Y46" s="4"/>
      <c r="Z46" s="15" t="s">
        <v>12</v>
      </c>
      <c r="AA46" s="4" t="s">
        <v>12</v>
      </c>
      <c r="AB46" s="4" t="s">
        <v>12</v>
      </c>
      <c r="AC46" s="4" t="s">
        <v>12</v>
      </c>
      <c r="AD46" s="4"/>
      <c r="AE46" s="15" t="s">
        <v>12</v>
      </c>
      <c r="AF46" s="4" t="s">
        <v>12</v>
      </c>
      <c r="AG46" s="4" t="s">
        <v>12</v>
      </c>
      <c r="AH46" s="4" t="s">
        <v>12</v>
      </c>
      <c r="AI46" s="4"/>
      <c r="AJ46" s="15" t="s">
        <v>12</v>
      </c>
      <c r="AK46" s="4" t="s">
        <v>12</v>
      </c>
      <c r="AL46" s="4" t="s">
        <v>12</v>
      </c>
      <c r="AM46" s="4" t="s">
        <v>12</v>
      </c>
    </row>
    <row r="47" spans="1:39" x14ac:dyDescent="0.25">
      <c r="A47" t="s">
        <v>26</v>
      </c>
      <c r="C47" t="s">
        <v>179</v>
      </c>
      <c r="D47" t="s">
        <v>180</v>
      </c>
      <c r="E47" t="s">
        <v>658</v>
      </c>
      <c r="F47" t="s">
        <v>56</v>
      </c>
      <c r="G47" t="s">
        <v>659</v>
      </c>
      <c r="H47" t="s">
        <v>12</v>
      </c>
      <c r="I47">
        <v>1</v>
      </c>
      <c r="J47" s="12">
        <f t="shared" si="0"/>
        <v>0</v>
      </c>
      <c r="K47" s="10" t="s">
        <v>660</v>
      </c>
      <c r="L47">
        <v>132</v>
      </c>
      <c r="M47">
        <v>1</v>
      </c>
      <c r="N47" s="7">
        <v>0</v>
      </c>
      <c r="O47" t="s">
        <v>668</v>
      </c>
      <c r="P47" s="15" t="s">
        <v>12</v>
      </c>
      <c r="Q47" s="4" t="s">
        <v>12</v>
      </c>
      <c r="R47" s="4" t="s">
        <v>12</v>
      </c>
      <c r="S47" s="4" t="s">
        <v>12</v>
      </c>
      <c r="T47" s="4"/>
      <c r="U47" s="10" t="s">
        <v>635</v>
      </c>
      <c r="V47">
        <v>82</v>
      </c>
      <c r="W47">
        <v>0</v>
      </c>
      <c r="X47">
        <v>0</v>
      </c>
      <c r="Z47" s="15" t="s">
        <v>12</v>
      </c>
      <c r="AA47" s="4" t="s">
        <v>12</v>
      </c>
      <c r="AB47" s="4" t="s">
        <v>12</v>
      </c>
      <c r="AC47" s="4" t="s">
        <v>12</v>
      </c>
      <c r="AD47" s="4"/>
      <c r="AE47" s="10" t="s">
        <v>12</v>
      </c>
      <c r="AF47" t="s">
        <v>12</v>
      </c>
      <c r="AG47" t="s">
        <v>12</v>
      </c>
      <c r="AH47" t="s">
        <v>12</v>
      </c>
      <c r="AJ47" s="15" t="s">
        <v>12</v>
      </c>
      <c r="AK47" s="4" t="s">
        <v>12</v>
      </c>
      <c r="AL47" s="4" t="s">
        <v>12</v>
      </c>
      <c r="AM47" s="4" t="s">
        <v>12</v>
      </c>
    </row>
    <row r="48" spans="1:39" x14ac:dyDescent="0.25">
      <c r="A48" t="s">
        <v>181</v>
      </c>
      <c r="C48" t="s">
        <v>182</v>
      </c>
      <c r="D48" t="s">
        <v>183</v>
      </c>
      <c r="E48" t="s">
        <v>669</v>
      </c>
      <c r="F48" t="s">
        <v>654</v>
      </c>
      <c r="I48" t="s">
        <v>670</v>
      </c>
      <c r="J48" s="12">
        <f t="shared" si="0"/>
        <v>0</v>
      </c>
      <c r="K48" s="10" t="s">
        <v>12</v>
      </c>
      <c r="L48" t="s">
        <v>12</v>
      </c>
      <c r="M48" s="2" t="s">
        <v>12</v>
      </c>
      <c r="N48" t="s">
        <v>12</v>
      </c>
      <c r="P48" s="10" t="s">
        <v>12</v>
      </c>
      <c r="Q48" t="s">
        <v>12</v>
      </c>
      <c r="R48" t="s">
        <v>12</v>
      </c>
      <c r="S48" t="s">
        <v>12</v>
      </c>
      <c r="U48" s="10" t="s">
        <v>12</v>
      </c>
      <c r="V48" t="s">
        <v>12</v>
      </c>
      <c r="W48" t="s">
        <v>12</v>
      </c>
      <c r="X48" t="s">
        <v>12</v>
      </c>
      <c r="Z48" s="10" t="s">
        <v>12</v>
      </c>
      <c r="AA48" t="s">
        <v>12</v>
      </c>
      <c r="AB48" t="s">
        <v>12</v>
      </c>
      <c r="AC48" t="s">
        <v>12</v>
      </c>
      <c r="AE48" s="10" t="s">
        <v>671</v>
      </c>
      <c r="AF48">
        <v>47</v>
      </c>
      <c r="AG48">
        <v>0</v>
      </c>
      <c r="AH48">
        <v>0</v>
      </c>
      <c r="AJ48" s="10" t="s">
        <v>12</v>
      </c>
      <c r="AK48" t="s">
        <v>12</v>
      </c>
      <c r="AL48" t="s">
        <v>12</v>
      </c>
      <c r="AM48" t="s">
        <v>12</v>
      </c>
    </row>
    <row r="49" spans="1:39" x14ac:dyDescent="0.25">
      <c r="A49" t="s">
        <v>184</v>
      </c>
      <c r="C49" t="s">
        <v>185</v>
      </c>
      <c r="D49" t="s">
        <v>186</v>
      </c>
      <c r="E49" t="s">
        <v>672</v>
      </c>
      <c r="F49" t="s">
        <v>24</v>
      </c>
      <c r="I49" t="s">
        <v>250</v>
      </c>
      <c r="J49" s="12">
        <f t="shared" si="0"/>
        <v>2</v>
      </c>
      <c r="K49" s="10" t="s">
        <v>673</v>
      </c>
      <c r="L49">
        <v>2</v>
      </c>
      <c r="M49" s="3">
        <v>1</v>
      </c>
      <c r="N49">
        <v>2</v>
      </c>
      <c r="O49" t="s">
        <v>662</v>
      </c>
      <c r="P49" s="10" t="s">
        <v>12</v>
      </c>
      <c r="Q49" t="s">
        <v>12</v>
      </c>
      <c r="R49" t="s">
        <v>12</v>
      </c>
      <c r="S49" t="s">
        <v>12</v>
      </c>
      <c r="U49" s="10" t="s">
        <v>12</v>
      </c>
      <c r="V49" t="s">
        <v>12</v>
      </c>
      <c r="W49" t="s">
        <v>12</v>
      </c>
      <c r="X49" t="s">
        <v>12</v>
      </c>
      <c r="Z49" s="10" t="s">
        <v>12</v>
      </c>
      <c r="AA49" t="s">
        <v>12</v>
      </c>
      <c r="AB49" t="s">
        <v>12</v>
      </c>
      <c r="AC49" t="s">
        <v>12</v>
      </c>
      <c r="AE49" s="10" t="s">
        <v>12</v>
      </c>
      <c r="AF49" t="s">
        <v>12</v>
      </c>
      <c r="AG49" t="s">
        <v>12</v>
      </c>
      <c r="AH49" t="s">
        <v>12</v>
      </c>
      <c r="AJ49" s="10" t="s">
        <v>12</v>
      </c>
      <c r="AK49" t="s">
        <v>12</v>
      </c>
      <c r="AL49" t="s">
        <v>12</v>
      </c>
      <c r="AM49" t="s">
        <v>12</v>
      </c>
    </row>
    <row r="50" spans="1:39" x14ac:dyDescent="0.25">
      <c r="A50" t="s">
        <v>187</v>
      </c>
      <c r="C50" t="s">
        <v>188</v>
      </c>
      <c r="D50" t="s">
        <v>189</v>
      </c>
      <c r="E50" t="s">
        <v>674</v>
      </c>
      <c r="F50" t="s">
        <v>676</v>
      </c>
      <c r="I50" t="s">
        <v>505</v>
      </c>
      <c r="J50" s="12">
        <f t="shared" si="0"/>
        <v>2</v>
      </c>
      <c r="K50" s="10" t="s">
        <v>675</v>
      </c>
      <c r="L50">
        <v>3</v>
      </c>
      <c r="M50" s="3">
        <v>1</v>
      </c>
      <c r="N50">
        <v>2</v>
      </c>
      <c r="O50" t="s">
        <v>662</v>
      </c>
      <c r="P50" s="10" t="s">
        <v>12</v>
      </c>
      <c r="Q50" t="s">
        <v>12</v>
      </c>
      <c r="R50" t="s">
        <v>12</v>
      </c>
      <c r="S50" t="s">
        <v>12</v>
      </c>
      <c r="U50" s="10" t="s">
        <v>12</v>
      </c>
      <c r="V50" t="s">
        <v>12</v>
      </c>
      <c r="W50" t="s">
        <v>12</v>
      </c>
      <c r="X50" t="s">
        <v>12</v>
      </c>
      <c r="Z50" s="10" t="s">
        <v>12</v>
      </c>
      <c r="AA50" t="s">
        <v>12</v>
      </c>
      <c r="AB50" t="s">
        <v>12</v>
      </c>
      <c r="AC50" t="s">
        <v>12</v>
      </c>
      <c r="AE50" s="10" t="s">
        <v>12</v>
      </c>
      <c r="AF50" t="s">
        <v>12</v>
      </c>
      <c r="AG50" t="s">
        <v>12</v>
      </c>
      <c r="AH50" t="s">
        <v>12</v>
      </c>
      <c r="AJ50" s="10" t="s">
        <v>12</v>
      </c>
      <c r="AK50" t="s">
        <v>12</v>
      </c>
      <c r="AL50" t="s">
        <v>12</v>
      </c>
      <c r="AM50" t="s">
        <v>12</v>
      </c>
    </row>
    <row r="51" spans="1:39" x14ac:dyDescent="0.25">
      <c r="A51" t="s">
        <v>190</v>
      </c>
      <c r="C51" t="s">
        <v>191</v>
      </c>
      <c r="D51" t="s">
        <v>192</v>
      </c>
      <c r="E51" t="s">
        <v>677</v>
      </c>
      <c r="F51" t="s">
        <v>38</v>
      </c>
      <c r="G51" t="s">
        <v>678</v>
      </c>
      <c r="H51" t="s">
        <v>12</v>
      </c>
      <c r="I51">
        <v>1</v>
      </c>
      <c r="J51" s="12">
        <f t="shared" si="0"/>
        <v>3</v>
      </c>
      <c r="K51" s="10" t="s">
        <v>679</v>
      </c>
      <c r="L51">
        <v>16</v>
      </c>
      <c r="M51" s="3">
        <v>1</v>
      </c>
      <c r="N51">
        <v>3</v>
      </c>
      <c r="O51" t="s">
        <v>661</v>
      </c>
      <c r="P51" s="10" t="s">
        <v>12</v>
      </c>
      <c r="Q51" t="s">
        <v>12</v>
      </c>
      <c r="R51" t="s">
        <v>12</v>
      </c>
      <c r="S51" t="s">
        <v>12</v>
      </c>
      <c r="U51" s="10" t="s">
        <v>12</v>
      </c>
      <c r="V51" t="s">
        <v>12</v>
      </c>
      <c r="W51" t="s">
        <v>12</v>
      </c>
      <c r="X51" t="s">
        <v>12</v>
      </c>
      <c r="Z51" s="10" t="s">
        <v>12</v>
      </c>
      <c r="AA51" t="s">
        <v>12</v>
      </c>
      <c r="AB51" t="s">
        <v>12</v>
      </c>
      <c r="AC51" t="s">
        <v>12</v>
      </c>
      <c r="AE51" s="10" t="s">
        <v>680</v>
      </c>
      <c r="AF51">
        <v>75</v>
      </c>
      <c r="AG51">
        <v>0</v>
      </c>
      <c r="AH51">
        <v>0</v>
      </c>
      <c r="AJ51" s="10" t="s">
        <v>12</v>
      </c>
      <c r="AK51" t="s">
        <v>12</v>
      </c>
      <c r="AL51" t="s">
        <v>12</v>
      </c>
      <c r="AM51" t="s">
        <v>12</v>
      </c>
    </row>
    <row r="52" spans="1:39" x14ac:dyDescent="0.25">
      <c r="A52" t="s">
        <v>193</v>
      </c>
      <c r="C52" t="s">
        <v>194</v>
      </c>
      <c r="D52" t="s">
        <v>195</v>
      </c>
      <c r="E52" t="s">
        <v>681</v>
      </c>
      <c r="F52" t="s">
        <v>24</v>
      </c>
      <c r="I52" t="s">
        <v>25</v>
      </c>
      <c r="J52" s="12">
        <f t="shared" si="0"/>
        <v>0</v>
      </c>
      <c r="K52" s="10" t="s">
        <v>12</v>
      </c>
      <c r="L52" t="s">
        <v>12</v>
      </c>
      <c r="M52" s="2" t="s">
        <v>12</v>
      </c>
      <c r="N52" t="s">
        <v>12</v>
      </c>
      <c r="P52" s="10" t="s">
        <v>12</v>
      </c>
      <c r="Q52" t="s">
        <v>12</v>
      </c>
      <c r="R52" t="s">
        <v>12</v>
      </c>
      <c r="S52" t="s">
        <v>12</v>
      </c>
      <c r="U52" s="10" t="s">
        <v>12</v>
      </c>
      <c r="V52" t="s">
        <v>12</v>
      </c>
      <c r="W52" t="s">
        <v>12</v>
      </c>
      <c r="X52" t="s">
        <v>12</v>
      </c>
      <c r="Z52" s="10" t="s">
        <v>12</v>
      </c>
      <c r="AA52" t="s">
        <v>12</v>
      </c>
      <c r="AB52" t="s">
        <v>12</v>
      </c>
      <c r="AC52" t="s">
        <v>12</v>
      </c>
      <c r="AE52" s="10" t="s">
        <v>627</v>
      </c>
      <c r="AF52">
        <v>1211</v>
      </c>
      <c r="AG52">
        <v>0</v>
      </c>
      <c r="AH52">
        <v>0</v>
      </c>
      <c r="AJ52" s="10" t="s">
        <v>12</v>
      </c>
      <c r="AK52" t="s">
        <v>12</v>
      </c>
      <c r="AL52" t="s">
        <v>12</v>
      </c>
      <c r="AM52" t="s">
        <v>12</v>
      </c>
    </row>
    <row r="53" spans="1:39" x14ac:dyDescent="0.25">
      <c r="A53" t="s">
        <v>196</v>
      </c>
      <c r="C53" t="s">
        <v>197</v>
      </c>
      <c r="D53" t="s">
        <v>198</v>
      </c>
      <c r="E53" t="s">
        <v>682</v>
      </c>
      <c r="F53" t="s">
        <v>56</v>
      </c>
      <c r="I53" t="s">
        <v>149</v>
      </c>
      <c r="J53" s="12">
        <f>SUM(S53,X53,AH53)</f>
        <v>0</v>
      </c>
      <c r="K53" s="10" t="s">
        <v>12</v>
      </c>
      <c r="L53" t="s">
        <v>12</v>
      </c>
      <c r="M53" s="2" t="s">
        <v>12</v>
      </c>
      <c r="N53" t="s">
        <v>12</v>
      </c>
      <c r="P53" s="10" t="s">
        <v>628</v>
      </c>
      <c r="Q53">
        <v>138</v>
      </c>
      <c r="R53" s="4">
        <v>0</v>
      </c>
      <c r="S53">
        <v>0</v>
      </c>
      <c r="U53" s="10" t="s">
        <v>12</v>
      </c>
      <c r="V53" t="s">
        <v>12</v>
      </c>
      <c r="W53" t="s">
        <v>12</v>
      </c>
      <c r="X53" t="s">
        <v>12</v>
      </c>
      <c r="Z53" s="10" t="s">
        <v>12</v>
      </c>
      <c r="AA53" t="s">
        <v>12</v>
      </c>
      <c r="AB53" t="s">
        <v>12</v>
      </c>
      <c r="AC53" t="s">
        <v>12</v>
      </c>
      <c r="AE53" s="10" t="s">
        <v>12</v>
      </c>
      <c r="AF53" t="s">
        <v>12</v>
      </c>
      <c r="AG53" t="s">
        <v>12</v>
      </c>
      <c r="AH53" t="s">
        <v>12</v>
      </c>
      <c r="AJ53" s="10" t="s">
        <v>12</v>
      </c>
      <c r="AK53" t="s">
        <v>12</v>
      </c>
      <c r="AL53" t="s">
        <v>12</v>
      </c>
      <c r="AM53" t="s">
        <v>12</v>
      </c>
    </row>
    <row r="54" spans="1:39" x14ac:dyDescent="0.25">
      <c r="A54" t="s">
        <v>199</v>
      </c>
      <c r="C54" t="s">
        <v>200</v>
      </c>
      <c r="D54" t="s">
        <v>201</v>
      </c>
      <c r="E54" t="s">
        <v>683</v>
      </c>
      <c r="F54" t="s">
        <v>56</v>
      </c>
      <c r="I54" t="s">
        <v>161</v>
      </c>
      <c r="J54" s="12">
        <f t="shared" si="0"/>
        <v>0</v>
      </c>
      <c r="K54" s="10" t="s">
        <v>12</v>
      </c>
      <c r="L54" t="s">
        <v>12</v>
      </c>
      <c r="M54" s="2" t="s">
        <v>12</v>
      </c>
      <c r="N54" t="s">
        <v>12</v>
      </c>
      <c r="P54" s="10" t="s">
        <v>12</v>
      </c>
      <c r="Q54" t="s">
        <v>12</v>
      </c>
      <c r="R54" t="s">
        <v>12</v>
      </c>
      <c r="S54" t="s">
        <v>12</v>
      </c>
      <c r="U54" s="10" t="s">
        <v>12</v>
      </c>
      <c r="V54" t="s">
        <v>12</v>
      </c>
      <c r="W54" t="s">
        <v>12</v>
      </c>
      <c r="X54" t="s">
        <v>12</v>
      </c>
      <c r="Z54" s="10" t="s">
        <v>12</v>
      </c>
      <c r="AA54" t="s">
        <v>12</v>
      </c>
      <c r="AB54" t="s">
        <v>12</v>
      </c>
      <c r="AC54" t="s">
        <v>12</v>
      </c>
      <c r="AE54" s="10" t="s">
        <v>636</v>
      </c>
      <c r="AF54">
        <v>7</v>
      </c>
      <c r="AG54">
        <v>0</v>
      </c>
      <c r="AH54">
        <v>0</v>
      </c>
      <c r="AJ54" s="10" t="s">
        <v>12</v>
      </c>
      <c r="AK54" t="s">
        <v>12</v>
      </c>
      <c r="AL54" t="s">
        <v>12</v>
      </c>
      <c r="AM54" t="s">
        <v>12</v>
      </c>
    </row>
    <row r="55" spans="1:39" x14ac:dyDescent="0.25">
      <c r="A55" t="s">
        <v>202</v>
      </c>
      <c r="C55" t="s">
        <v>203</v>
      </c>
      <c r="D55" t="s">
        <v>204</v>
      </c>
      <c r="E55" t="s">
        <v>684</v>
      </c>
      <c r="F55" t="s">
        <v>686</v>
      </c>
      <c r="G55" t="s">
        <v>685</v>
      </c>
      <c r="H55" t="s">
        <v>12</v>
      </c>
      <c r="I55">
        <v>1</v>
      </c>
      <c r="J55" s="12">
        <f t="shared" si="0"/>
        <v>3</v>
      </c>
      <c r="K55" s="10" t="s">
        <v>687</v>
      </c>
      <c r="L55">
        <v>20</v>
      </c>
      <c r="M55" s="3">
        <v>1</v>
      </c>
      <c r="N55">
        <v>3</v>
      </c>
      <c r="O55" t="s">
        <v>661</v>
      </c>
      <c r="P55" s="10" t="s">
        <v>12</v>
      </c>
      <c r="Q55" t="s">
        <v>12</v>
      </c>
      <c r="R55" t="s">
        <v>12</v>
      </c>
      <c r="S55" t="s">
        <v>12</v>
      </c>
      <c r="U55" s="10" t="s">
        <v>12</v>
      </c>
      <c r="V55" t="s">
        <v>12</v>
      </c>
      <c r="W55" t="s">
        <v>12</v>
      </c>
      <c r="X55" t="s">
        <v>12</v>
      </c>
      <c r="Z55" s="10" t="s">
        <v>12</v>
      </c>
      <c r="AA55" t="s">
        <v>12</v>
      </c>
      <c r="AB55" t="s">
        <v>12</v>
      </c>
      <c r="AC55" t="s">
        <v>12</v>
      </c>
      <c r="AE55" s="10" t="s">
        <v>12</v>
      </c>
      <c r="AF55" t="s">
        <v>12</v>
      </c>
      <c r="AG55" t="s">
        <v>12</v>
      </c>
      <c r="AH55" t="s">
        <v>12</v>
      </c>
      <c r="AJ55" s="10" t="s">
        <v>12</v>
      </c>
      <c r="AK55" t="s">
        <v>12</v>
      </c>
      <c r="AL55" t="s">
        <v>12</v>
      </c>
      <c r="AM55" t="s">
        <v>12</v>
      </c>
    </row>
    <row r="56" spans="1:39" x14ac:dyDescent="0.25">
      <c r="A56" t="s">
        <v>205</v>
      </c>
      <c r="C56" t="s">
        <v>206</v>
      </c>
      <c r="D56" t="s">
        <v>207</v>
      </c>
      <c r="E56" t="s">
        <v>688</v>
      </c>
      <c r="F56" t="s">
        <v>692</v>
      </c>
      <c r="G56" t="s">
        <v>689</v>
      </c>
      <c r="H56" t="s">
        <v>12</v>
      </c>
      <c r="I56" t="s">
        <v>546</v>
      </c>
      <c r="J56" s="12">
        <f t="shared" si="0"/>
        <v>3</v>
      </c>
      <c r="K56" s="10" t="s">
        <v>690</v>
      </c>
      <c r="L56">
        <v>15</v>
      </c>
      <c r="M56" s="1">
        <v>1</v>
      </c>
      <c r="N56">
        <v>3</v>
      </c>
      <c r="O56" t="s">
        <v>661</v>
      </c>
      <c r="P56" s="10" t="s">
        <v>12</v>
      </c>
      <c r="Q56" t="s">
        <v>12</v>
      </c>
      <c r="R56" t="s">
        <v>12</v>
      </c>
      <c r="S56" t="s">
        <v>12</v>
      </c>
      <c r="U56" s="10" t="s">
        <v>12</v>
      </c>
      <c r="V56" t="s">
        <v>12</v>
      </c>
      <c r="W56" t="s">
        <v>12</v>
      </c>
      <c r="X56" t="s">
        <v>12</v>
      </c>
      <c r="Z56" s="10" t="s">
        <v>12</v>
      </c>
      <c r="AA56" t="s">
        <v>12</v>
      </c>
      <c r="AB56" t="s">
        <v>12</v>
      </c>
      <c r="AC56" t="s">
        <v>12</v>
      </c>
      <c r="AE56" s="10" t="s">
        <v>12</v>
      </c>
      <c r="AF56" t="s">
        <v>12</v>
      </c>
      <c r="AG56" t="s">
        <v>12</v>
      </c>
      <c r="AH56" t="s">
        <v>12</v>
      </c>
      <c r="AJ56" s="10" t="s">
        <v>12</v>
      </c>
      <c r="AK56" t="s">
        <v>12</v>
      </c>
      <c r="AL56" t="s">
        <v>12</v>
      </c>
      <c r="AM56" t="s">
        <v>12</v>
      </c>
    </row>
    <row r="57" spans="1:39" x14ac:dyDescent="0.25">
      <c r="A57" t="s">
        <v>208</v>
      </c>
      <c r="C57" t="s">
        <v>209</v>
      </c>
      <c r="D57" t="s">
        <v>210</v>
      </c>
      <c r="E57" t="s">
        <v>691</v>
      </c>
      <c r="F57" t="s">
        <v>38</v>
      </c>
      <c r="I57" t="s">
        <v>192</v>
      </c>
      <c r="J57" s="12">
        <f t="shared" si="0"/>
        <v>2</v>
      </c>
      <c r="K57" s="10" t="s">
        <v>679</v>
      </c>
      <c r="L57">
        <v>16</v>
      </c>
      <c r="M57" s="3">
        <v>1</v>
      </c>
      <c r="N57">
        <v>2</v>
      </c>
      <c r="O57" t="s">
        <v>662</v>
      </c>
      <c r="P57" s="10" t="s">
        <v>12</v>
      </c>
      <c r="Q57" t="s">
        <v>12</v>
      </c>
      <c r="R57" t="s">
        <v>12</v>
      </c>
      <c r="S57" t="s">
        <v>12</v>
      </c>
      <c r="U57" s="10" t="s">
        <v>12</v>
      </c>
      <c r="V57" t="s">
        <v>12</v>
      </c>
      <c r="W57" t="s">
        <v>12</v>
      </c>
      <c r="X57" t="s">
        <v>12</v>
      </c>
      <c r="Z57" s="10" t="s">
        <v>12</v>
      </c>
      <c r="AA57" t="s">
        <v>12</v>
      </c>
      <c r="AB57" t="s">
        <v>12</v>
      </c>
      <c r="AC57" t="s">
        <v>12</v>
      </c>
      <c r="AE57" s="10" t="s">
        <v>12</v>
      </c>
      <c r="AF57" t="s">
        <v>12</v>
      </c>
      <c r="AG57" t="s">
        <v>12</v>
      </c>
      <c r="AH57" t="s">
        <v>12</v>
      </c>
      <c r="AJ57" s="10" t="s">
        <v>12</v>
      </c>
      <c r="AK57" t="s">
        <v>12</v>
      </c>
      <c r="AL57" t="s">
        <v>12</v>
      </c>
      <c r="AM57" t="s">
        <v>12</v>
      </c>
    </row>
    <row r="58" spans="1:39" x14ac:dyDescent="0.25">
      <c r="A58" t="s">
        <v>211</v>
      </c>
      <c r="B58" t="s">
        <v>212</v>
      </c>
      <c r="C58" t="s">
        <v>213</v>
      </c>
      <c r="D58" t="s">
        <v>214</v>
      </c>
      <c r="E58" t="s">
        <v>693</v>
      </c>
      <c r="F58" t="s">
        <v>649</v>
      </c>
      <c r="I58">
        <v>1</v>
      </c>
      <c r="J58" s="12">
        <f t="shared" si="0"/>
        <v>0</v>
      </c>
      <c r="K58" s="10" t="s">
        <v>648</v>
      </c>
      <c r="L58">
        <v>14</v>
      </c>
      <c r="M58" s="1">
        <v>0</v>
      </c>
      <c r="N58">
        <v>0</v>
      </c>
      <c r="O58" t="s">
        <v>81</v>
      </c>
      <c r="P58" s="10" t="s">
        <v>12</v>
      </c>
      <c r="Q58" t="s">
        <v>12</v>
      </c>
      <c r="R58" t="s">
        <v>12</v>
      </c>
      <c r="S58" t="s">
        <v>12</v>
      </c>
      <c r="U58" s="10" t="s">
        <v>12</v>
      </c>
      <c r="V58" t="s">
        <v>12</v>
      </c>
      <c r="W58" t="s">
        <v>12</v>
      </c>
      <c r="X58" t="s">
        <v>12</v>
      </c>
      <c r="Z58" s="10" t="s">
        <v>12</v>
      </c>
      <c r="AA58" t="s">
        <v>12</v>
      </c>
      <c r="AB58" t="s">
        <v>12</v>
      </c>
      <c r="AC58" t="s">
        <v>12</v>
      </c>
      <c r="AE58" s="10" t="s">
        <v>12</v>
      </c>
      <c r="AF58" t="s">
        <v>12</v>
      </c>
      <c r="AG58" t="s">
        <v>12</v>
      </c>
      <c r="AH58" t="s">
        <v>12</v>
      </c>
      <c r="AJ58" s="10" t="s">
        <v>12</v>
      </c>
      <c r="AK58" t="s">
        <v>12</v>
      </c>
      <c r="AL58" t="s">
        <v>12</v>
      </c>
      <c r="AM58" t="s">
        <v>12</v>
      </c>
    </row>
    <row r="59" spans="1:39" x14ac:dyDescent="0.25">
      <c r="A59" t="s">
        <v>215</v>
      </c>
      <c r="C59" t="s">
        <v>62</v>
      </c>
      <c r="D59" t="s">
        <v>216</v>
      </c>
      <c r="E59" t="s">
        <v>694</v>
      </c>
      <c r="F59" t="s">
        <v>62</v>
      </c>
      <c r="G59" t="s">
        <v>695</v>
      </c>
      <c r="H59" t="s">
        <v>12</v>
      </c>
      <c r="I59">
        <v>1</v>
      </c>
      <c r="J59" s="12">
        <f t="shared" si="0"/>
        <v>2</v>
      </c>
      <c r="K59" s="10" t="s">
        <v>696</v>
      </c>
      <c r="L59">
        <v>28</v>
      </c>
      <c r="M59" s="3">
        <v>1</v>
      </c>
      <c r="N59">
        <v>2</v>
      </c>
      <c r="O59" t="s">
        <v>662</v>
      </c>
      <c r="P59" s="10" t="s">
        <v>12</v>
      </c>
      <c r="Q59" t="s">
        <v>12</v>
      </c>
      <c r="R59" t="s">
        <v>12</v>
      </c>
      <c r="S59" t="s">
        <v>12</v>
      </c>
      <c r="U59" s="10" t="s">
        <v>12</v>
      </c>
      <c r="V59" t="s">
        <v>12</v>
      </c>
      <c r="W59" t="s">
        <v>12</v>
      </c>
      <c r="X59" t="s">
        <v>12</v>
      </c>
      <c r="Z59" s="10" t="s">
        <v>12</v>
      </c>
      <c r="AA59" t="s">
        <v>12</v>
      </c>
      <c r="AB59" t="s">
        <v>12</v>
      </c>
      <c r="AC59" t="s">
        <v>12</v>
      </c>
      <c r="AE59" s="10" t="s">
        <v>12</v>
      </c>
      <c r="AF59" t="s">
        <v>12</v>
      </c>
      <c r="AG59" t="s">
        <v>12</v>
      </c>
      <c r="AH59" t="s">
        <v>12</v>
      </c>
      <c r="AJ59" s="10" t="s">
        <v>12</v>
      </c>
      <c r="AK59" t="s">
        <v>12</v>
      </c>
      <c r="AL59" t="s">
        <v>12</v>
      </c>
      <c r="AM59" t="s">
        <v>12</v>
      </c>
    </row>
    <row r="60" spans="1:39" x14ac:dyDescent="0.25">
      <c r="A60" t="s">
        <v>215</v>
      </c>
      <c r="C60" t="s">
        <v>62</v>
      </c>
      <c r="D60" t="s">
        <v>216</v>
      </c>
      <c r="E60" t="s">
        <v>694</v>
      </c>
      <c r="F60" t="s">
        <v>62</v>
      </c>
      <c r="G60" t="s">
        <v>695</v>
      </c>
      <c r="H60" t="s">
        <v>12</v>
      </c>
      <c r="I60" t="s">
        <v>593</v>
      </c>
      <c r="J60" s="12">
        <f t="shared" si="0"/>
        <v>0</v>
      </c>
      <c r="K60" s="10" t="s">
        <v>12</v>
      </c>
      <c r="L60" t="s">
        <v>12</v>
      </c>
      <c r="M60" s="2" t="s">
        <v>12</v>
      </c>
      <c r="N60" t="s">
        <v>12</v>
      </c>
      <c r="P60" s="10" t="s">
        <v>12</v>
      </c>
      <c r="Q60" t="s">
        <v>12</v>
      </c>
      <c r="R60" t="s">
        <v>12</v>
      </c>
      <c r="S60" t="s">
        <v>12</v>
      </c>
      <c r="U60" s="10" t="s">
        <v>697</v>
      </c>
      <c r="V60">
        <v>224</v>
      </c>
      <c r="W60">
        <v>0</v>
      </c>
      <c r="X60">
        <v>0</v>
      </c>
      <c r="Z60" s="10" t="s">
        <v>12</v>
      </c>
      <c r="AA60" t="s">
        <v>12</v>
      </c>
      <c r="AB60" t="s">
        <v>12</v>
      </c>
      <c r="AC60" t="s">
        <v>12</v>
      </c>
      <c r="AE60" s="10" t="s">
        <v>12</v>
      </c>
      <c r="AF60" t="s">
        <v>12</v>
      </c>
      <c r="AG60" t="s">
        <v>12</v>
      </c>
      <c r="AH60" t="s">
        <v>12</v>
      </c>
      <c r="AJ60" s="10" t="s">
        <v>12</v>
      </c>
      <c r="AK60" t="s">
        <v>12</v>
      </c>
      <c r="AL60" t="s">
        <v>12</v>
      </c>
      <c r="AM60" t="s">
        <v>12</v>
      </c>
    </row>
    <row r="61" spans="1:39" x14ac:dyDescent="0.25">
      <c r="A61" t="s">
        <v>217</v>
      </c>
      <c r="B61" t="s">
        <v>924</v>
      </c>
      <c r="C61" t="s">
        <v>218</v>
      </c>
      <c r="D61" t="s">
        <v>925</v>
      </c>
      <c r="E61" t="s">
        <v>698</v>
      </c>
      <c r="F61" t="s">
        <v>68</v>
      </c>
      <c r="G61" t="s">
        <v>699</v>
      </c>
      <c r="H61" t="s">
        <v>12</v>
      </c>
      <c r="I61">
        <v>1</v>
      </c>
      <c r="J61" s="12">
        <f t="shared" si="0"/>
        <v>3</v>
      </c>
      <c r="K61" s="10" t="s">
        <v>700</v>
      </c>
      <c r="L61">
        <v>3</v>
      </c>
      <c r="M61" s="3">
        <v>1</v>
      </c>
      <c r="N61">
        <v>3</v>
      </c>
      <c r="O61" t="s">
        <v>661</v>
      </c>
      <c r="P61" s="10" t="s">
        <v>12</v>
      </c>
      <c r="Q61" t="s">
        <v>12</v>
      </c>
      <c r="R61" t="s">
        <v>12</v>
      </c>
      <c r="S61" t="s">
        <v>12</v>
      </c>
      <c r="U61" s="10" t="s">
        <v>12</v>
      </c>
      <c r="V61" t="s">
        <v>12</v>
      </c>
      <c r="W61" t="s">
        <v>12</v>
      </c>
      <c r="X61" t="s">
        <v>12</v>
      </c>
      <c r="Z61" s="10" t="s">
        <v>12</v>
      </c>
      <c r="AA61" t="s">
        <v>12</v>
      </c>
      <c r="AB61" t="s">
        <v>12</v>
      </c>
      <c r="AC61" t="s">
        <v>12</v>
      </c>
      <c r="AE61" s="10" t="s">
        <v>12</v>
      </c>
      <c r="AF61" t="s">
        <v>12</v>
      </c>
      <c r="AG61" t="s">
        <v>12</v>
      </c>
      <c r="AH61" t="s">
        <v>12</v>
      </c>
      <c r="AJ61" s="10" t="s">
        <v>12</v>
      </c>
      <c r="AK61" t="s">
        <v>12</v>
      </c>
      <c r="AL61" t="s">
        <v>12</v>
      </c>
      <c r="AM61" t="s">
        <v>12</v>
      </c>
    </row>
    <row r="62" spans="1:39" x14ac:dyDescent="0.25">
      <c r="A62" t="s">
        <v>217</v>
      </c>
      <c r="B62" t="s">
        <v>924</v>
      </c>
      <c r="C62" t="s">
        <v>218</v>
      </c>
      <c r="D62" t="s">
        <v>925</v>
      </c>
      <c r="E62" t="s">
        <v>698</v>
      </c>
      <c r="F62" t="s">
        <v>68</v>
      </c>
      <c r="G62" t="s">
        <v>699</v>
      </c>
      <c r="H62" t="s">
        <v>12</v>
      </c>
      <c r="I62">
        <v>1</v>
      </c>
      <c r="K62" s="10" t="s">
        <v>701</v>
      </c>
      <c r="L62">
        <v>4</v>
      </c>
      <c r="M62" s="1">
        <v>0</v>
      </c>
      <c r="N62">
        <v>0</v>
      </c>
      <c r="O62" t="s">
        <v>81</v>
      </c>
      <c r="P62" s="10" t="s">
        <v>12</v>
      </c>
      <c r="Q62" t="s">
        <v>12</v>
      </c>
      <c r="R62" t="s">
        <v>12</v>
      </c>
      <c r="S62" t="s">
        <v>12</v>
      </c>
      <c r="U62" s="10" t="s">
        <v>12</v>
      </c>
      <c r="V62" t="s">
        <v>12</v>
      </c>
      <c r="W62" t="s">
        <v>12</v>
      </c>
      <c r="X62" t="s">
        <v>12</v>
      </c>
      <c r="Z62" s="10" t="s">
        <v>12</v>
      </c>
      <c r="AA62" t="s">
        <v>12</v>
      </c>
      <c r="AB62" t="s">
        <v>12</v>
      </c>
      <c r="AC62" t="s">
        <v>12</v>
      </c>
      <c r="AE62" s="10" t="s">
        <v>12</v>
      </c>
      <c r="AF62" t="s">
        <v>12</v>
      </c>
      <c r="AG62" t="s">
        <v>12</v>
      </c>
      <c r="AH62" t="s">
        <v>12</v>
      </c>
      <c r="AJ62" s="10" t="s">
        <v>12</v>
      </c>
      <c r="AK62" t="s">
        <v>12</v>
      </c>
      <c r="AL62" t="s">
        <v>12</v>
      </c>
      <c r="AM62" t="s">
        <v>12</v>
      </c>
    </row>
    <row r="63" spans="1:39" x14ac:dyDescent="0.25">
      <c r="A63" t="s">
        <v>219</v>
      </c>
      <c r="C63" t="s">
        <v>702</v>
      </c>
      <c r="D63" t="s">
        <v>670</v>
      </c>
      <c r="E63" t="s">
        <v>703</v>
      </c>
      <c r="F63" t="s">
        <v>654</v>
      </c>
      <c r="I63">
        <v>1</v>
      </c>
      <c r="J63" s="12">
        <f t="shared" si="0"/>
        <v>0</v>
      </c>
      <c r="K63" s="10" t="s">
        <v>12</v>
      </c>
      <c r="L63" t="s">
        <v>12</v>
      </c>
      <c r="M63" s="2" t="s">
        <v>12</v>
      </c>
      <c r="N63" t="s">
        <v>12</v>
      </c>
      <c r="P63" s="10" t="s">
        <v>12</v>
      </c>
      <c r="Q63" t="s">
        <v>12</v>
      </c>
      <c r="R63" t="s">
        <v>12</v>
      </c>
      <c r="S63" t="s">
        <v>12</v>
      </c>
      <c r="U63" s="10" t="s">
        <v>12</v>
      </c>
      <c r="V63" t="s">
        <v>12</v>
      </c>
      <c r="W63" t="s">
        <v>12</v>
      </c>
      <c r="X63" t="s">
        <v>12</v>
      </c>
      <c r="Z63" s="10" t="s">
        <v>12</v>
      </c>
      <c r="AA63" t="s">
        <v>12</v>
      </c>
      <c r="AB63" t="s">
        <v>12</v>
      </c>
      <c r="AC63" t="s">
        <v>12</v>
      </c>
      <c r="AE63" s="10" t="s">
        <v>671</v>
      </c>
      <c r="AF63">
        <v>47</v>
      </c>
      <c r="AG63">
        <v>0</v>
      </c>
      <c r="AH63">
        <v>0</v>
      </c>
      <c r="AJ63" s="10" t="s">
        <v>12</v>
      </c>
      <c r="AK63" t="s">
        <v>12</v>
      </c>
      <c r="AL63" t="s">
        <v>12</v>
      </c>
      <c r="AM63" t="s">
        <v>12</v>
      </c>
    </row>
    <row r="64" spans="1:39" x14ac:dyDescent="0.25">
      <c r="A64" t="s">
        <v>220</v>
      </c>
      <c r="C64" t="s">
        <v>221</v>
      </c>
      <c r="D64" t="s">
        <v>222</v>
      </c>
      <c r="E64" t="s">
        <v>704</v>
      </c>
      <c r="F64" t="s">
        <v>24</v>
      </c>
      <c r="G64" t="s">
        <v>705</v>
      </c>
      <c r="H64" t="s">
        <v>12</v>
      </c>
      <c r="I64" t="s">
        <v>258</v>
      </c>
      <c r="J64" s="12">
        <f t="shared" si="0"/>
        <v>0</v>
      </c>
      <c r="K64" s="10" t="s">
        <v>746</v>
      </c>
      <c r="L64">
        <v>1247</v>
      </c>
      <c r="M64">
        <v>1</v>
      </c>
      <c r="N64" s="7">
        <v>0</v>
      </c>
      <c r="O64" t="s">
        <v>666</v>
      </c>
      <c r="P64" s="15" t="s">
        <v>12</v>
      </c>
      <c r="Q64" s="4" t="s">
        <v>12</v>
      </c>
      <c r="R64" s="4" t="s">
        <v>12</v>
      </c>
      <c r="S64" s="4" t="s">
        <v>12</v>
      </c>
      <c r="T64" s="4"/>
      <c r="U64" s="10" t="s">
        <v>749</v>
      </c>
      <c r="V64">
        <v>510</v>
      </c>
      <c r="W64">
        <v>0</v>
      </c>
      <c r="X64">
        <v>0</v>
      </c>
      <c r="Z64" s="10" t="s">
        <v>748</v>
      </c>
      <c r="AA64">
        <v>14</v>
      </c>
      <c r="AB64">
        <v>0</v>
      </c>
      <c r="AC64">
        <v>0</v>
      </c>
      <c r="AE64" s="10" t="s">
        <v>12</v>
      </c>
      <c r="AF64" t="s">
        <v>12</v>
      </c>
      <c r="AG64" t="s">
        <v>12</v>
      </c>
      <c r="AH64" t="s">
        <v>12</v>
      </c>
      <c r="AJ64" s="10" t="s">
        <v>12</v>
      </c>
      <c r="AK64" t="s">
        <v>12</v>
      </c>
      <c r="AL64" t="s">
        <v>12</v>
      </c>
      <c r="AM64" t="s">
        <v>12</v>
      </c>
    </row>
    <row r="65" spans="1:39" x14ac:dyDescent="0.25">
      <c r="A65" t="s">
        <v>223</v>
      </c>
      <c r="C65" t="s">
        <v>224</v>
      </c>
      <c r="D65" t="s">
        <v>225</v>
      </c>
      <c r="E65" t="s">
        <v>706</v>
      </c>
      <c r="F65" t="s">
        <v>708</v>
      </c>
      <c r="G65" t="s">
        <v>709</v>
      </c>
      <c r="H65" t="s">
        <v>12</v>
      </c>
      <c r="I65">
        <v>1</v>
      </c>
      <c r="J65" s="12">
        <f t="shared" si="0"/>
        <v>2</v>
      </c>
      <c r="K65" s="10" t="s">
        <v>707</v>
      </c>
      <c r="L65">
        <v>5</v>
      </c>
      <c r="M65" s="3">
        <v>1</v>
      </c>
      <c r="N65">
        <v>2</v>
      </c>
      <c r="O65" t="s">
        <v>662</v>
      </c>
      <c r="P65" s="10" t="s">
        <v>12</v>
      </c>
      <c r="Q65" t="s">
        <v>12</v>
      </c>
      <c r="R65" t="s">
        <v>12</v>
      </c>
      <c r="S65" t="s">
        <v>12</v>
      </c>
      <c r="U65" s="10" t="s">
        <v>12</v>
      </c>
      <c r="V65" t="s">
        <v>12</v>
      </c>
      <c r="W65" t="s">
        <v>12</v>
      </c>
      <c r="X65" t="s">
        <v>12</v>
      </c>
      <c r="Z65" s="10" t="s">
        <v>12</v>
      </c>
      <c r="AA65" t="s">
        <v>12</v>
      </c>
      <c r="AB65" t="s">
        <v>12</v>
      </c>
      <c r="AC65" t="s">
        <v>12</v>
      </c>
      <c r="AE65" s="10" t="s">
        <v>12</v>
      </c>
      <c r="AF65" t="s">
        <v>12</v>
      </c>
      <c r="AG65" t="s">
        <v>12</v>
      </c>
      <c r="AH65" t="s">
        <v>12</v>
      </c>
      <c r="AJ65" s="10" t="s">
        <v>12</v>
      </c>
      <c r="AK65" t="s">
        <v>12</v>
      </c>
      <c r="AL65" t="s">
        <v>12</v>
      </c>
      <c r="AM65" t="s">
        <v>12</v>
      </c>
    </row>
    <row r="66" spans="1:39" x14ac:dyDescent="0.25">
      <c r="A66" t="s">
        <v>226</v>
      </c>
      <c r="C66" t="s">
        <v>227</v>
      </c>
      <c r="D66" t="s">
        <v>228</v>
      </c>
      <c r="E66" t="s">
        <v>710</v>
      </c>
      <c r="F66" t="s">
        <v>714</v>
      </c>
      <c r="I66" t="s">
        <v>237</v>
      </c>
      <c r="J66" s="12">
        <f t="shared" si="0"/>
        <v>0</v>
      </c>
      <c r="K66" s="10" t="s">
        <v>12</v>
      </c>
      <c r="L66" t="s">
        <v>12</v>
      </c>
      <c r="M66" s="2" t="s">
        <v>12</v>
      </c>
      <c r="N66" t="s">
        <v>12</v>
      </c>
      <c r="P66" s="10" t="s">
        <v>12</v>
      </c>
      <c r="Q66" t="s">
        <v>12</v>
      </c>
      <c r="R66" t="s">
        <v>12</v>
      </c>
      <c r="S66" t="s">
        <v>12</v>
      </c>
      <c r="U66" s="10" t="s">
        <v>12</v>
      </c>
      <c r="V66" t="s">
        <v>12</v>
      </c>
      <c r="W66" t="s">
        <v>12</v>
      </c>
      <c r="X66" t="s">
        <v>12</v>
      </c>
      <c r="Z66" s="10" t="s">
        <v>12</v>
      </c>
      <c r="AA66" t="s">
        <v>12</v>
      </c>
      <c r="AB66" t="s">
        <v>12</v>
      </c>
      <c r="AC66" t="s">
        <v>12</v>
      </c>
      <c r="AE66" s="10" t="s">
        <v>711</v>
      </c>
      <c r="AF66">
        <v>26</v>
      </c>
      <c r="AG66">
        <v>0</v>
      </c>
      <c r="AH66">
        <v>0</v>
      </c>
      <c r="AJ66" s="10" t="s">
        <v>12</v>
      </c>
      <c r="AK66" t="s">
        <v>12</v>
      </c>
      <c r="AL66" t="s">
        <v>12</v>
      </c>
      <c r="AM66" t="s">
        <v>12</v>
      </c>
    </row>
    <row r="67" spans="1:39" x14ac:dyDescent="0.25">
      <c r="A67" t="s">
        <v>229</v>
      </c>
      <c r="B67" t="s">
        <v>230</v>
      </c>
      <c r="C67" t="s">
        <v>231</v>
      </c>
      <c r="D67" t="s">
        <v>39</v>
      </c>
      <c r="E67" t="s">
        <v>712</v>
      </c>
      <c r="F67" t="s">
        <v>38</v>
      </c>
      <c r="G67" t="s">
        <v>713</v>
      </c>
      <c r="H67" t="s">
        <v>12</v>
      </c>
      <c r="I67">
        <v>1</v>
      </c>
      <c r="J67" s="12">
        <f t="shared" si="0"/>
        <v>0</v>
      </c>
      <c r="K67" s="10" t="s">
        <v>602</v>
      </c>
      <c r="L67">
        <v>1764</v>
      </c>
      <c r="M67">
        <v>1</v>
      </c>
      <c r="N67" s="7">
        <v>0</v>
      </c>
      <c r="O67" t="s">
        <v>665</v>
      </c>
      <c r="P67" s="10" t="s">
        <v>12</v>
      </c>
      <c r="Q67" t="s">
        <v>12</v>
      </c>
      <c r="R67" t="s">
        <v>12</v>
      </c>
      <c r="S67" t="s">
        <v>12</v>
      </c>
      <c r="U67" s="10" t="s">
        <v>12</v>
      </c>
      <c r="V67" t="s">
        <v>12</v>
      </c>
      <c r="W67" t="s">
        <v>12</v>
      </c>
      <c r="X67" t="s">
        <v>12</v>
      </c>
      <c r="Z67" s="10" t="s">
        <v>12</v>
      </c>
      <c r="AA67" t="s">
        <v>12</v>
      </c>
      <c r="AB67" t="s">
        <v>12</v>
      </c>
      <c r="AC67" t="s">
        <v>12</v>
      </c>
      <c r="AE67" s="10" t="s">
        <v>12</v>
      </c>
      <c r="AF67" t="s">
        <v>12</v>
      </c>
      <c r="AG67" t="s">
        <v>12</v>
      </c>
      <c r="AH67" t="s">
        <v>12</v>
      </c>
      <c r="AJ67" s="10" t="s">
        <v>12</v>
      </c>
      <c r="AK67" t="s">
        <v>12</v>
      </c>
      <c r="AL67" t="s">
        <v>12</v>
      </c>
      <c r="AM67" t="s">
        <v>12</v>
      </c>
    </row>
    <row r="68" spans="1:39" x14ac:dyDescent="0.25">
      <c r="A68" t="s">
        <v>232</v>
      </c>
      <c r="B68" t="s">
        <v>70</v>
      </c>
      <c r="C68" t="s">
        <v>233</v>
      </c>
      <c r="D68" t="s">
        <v>234</v>
      </c>
      <c r="E68" t="s">
        <v>715</v>
      </c>
      <c r="F68" t="s">
        <v>714</v>
      </c>
      <c r="G68" t="s">
        <v>717</v>
      </c>
      <c r="H68" t="s">
        <v>12</v>
      </c>
      <c r="I68">
        <v>1</v>
      </c>
      <c r="J68" s="12">
        <f t="shared" si="0"/>
        <v>3</v>
      </c>
      <c r="K68" s="10" t="s">
        <v>716</v>
      </c>
      <c r="L68">
        <v>2</v>
      </c>
      <c r="M68" s="3">
        <v>1</v>
      </c>
      <c r="N68">
        <v>3</v>
      </c>
      <c r="O68" t="s">
        <v>661</v>
      </c>
      <c r="P68" s="10" t="s">
        <v>12</v>
      </c>
      <c r="Q68" t="s">
        <v>12</v>
      </c>
      <c r="R68" t="s">
        <v>12</v>
      </c>
      <c r="S68" t="s">
        <v>12</v>
      </c>
      <c r="U68" s="10" t="s">
        <v>12</v>
      </c>
      <c r="V68" t="s">
        <v>12</v>
      </c>
      <c r="W68" t="s">
        <v>12</v>
      </c>
      <c r="X68" t="s">
        <v>12</v>
      </c>
      <c r="Z68" s="10" t="s">
        <v>12</v>
      </c>
      <c r="AA68" t="s">
        <v>12</v>
      </c>
      <c r="AB68" t="s">
        <v>12</v>
      </c>
      <c r="AC68" t="s">
        <v>12</v>
      </c>
      <c r="AE68" s="10" t="s">
        <v>12</v>
      </c>
      <c r="AF68" t="s">
        <v>12</v>
      </c>
      <c r="AG68" t="s">
        <v>12</v>
      </c>
      <c r="AH68" t="s">
        <v>12</v>
      </c>
      <c r="AJ68" s="10" t="s">
        <v>12</v>
      </c>
      <c r="AK68" t="s">
        <v>12</v>
      </c>
      <c r="AL68" t="s">
        <v>12</v>
      </c>
      <c r="AM68" t="s">
        <v>12</v>
      </c>
    </row>
    <row r="69" spans="1:39" x14ac:dyDescent="0.25">
      <c r="A69" t="s">
        <v>235</v>
      </c>
      <c r="C69" t="s">
        <v>236</v>
      </c>
      <c r="D69" t="s">
        <v>237</v>
      </c>
      <c r="E69" t="s">
        <v>718</v>
      </c>
      <c r="F69" t="s">
        <v>714</v>
      </c>
      <c r="I69">
        <v>1</v>
      </c>
      <c r="J69" s="12">
        <f t="shared" si="0"/>
        <v>0</v>
      </c>
      <c r="K69" s="10" t="s">
        <v>12</v>
      </c>
      <c r="L69" t="s">
        <v>12</v>
      </c>
      <c r="M69" s="2" t="s">
        <v>12</v>
      </c>
      <c r="N69" t="s">
        <v>12</v>
      </c>
      <c r="P69" s="10" t="s">
        <v>12</v>
      </c>
      <c r="Q69" t="s">
        <v>12</v>
      </c>
      <c r="R69" t="s">
        <v>12</v>
      </c>
      <c r="S69" t="s">
        <v>12</v>
      </c>
      <c r="U69" s="10" t="s">
        <v>12</v>
      </c>
      <c r="V69" t="s">
        <v>12</v>
      </c>
      <c r="W69" t="s">
        <v>12</v>
      </c>
      <c r="X69" t="s">
        <v>12</v>
      </c>
      <c r="Z69" s="10" t="s">
        <v>12</v>
      </c>
      <c r="AA69" t="s">
        <v>12</v>
      </c>
      <c r="AB69" t="s">
        <v>12</v>
      </c>
      <c r="AC69" t="s">
        <v>12</v>
      </c>
      <c r="AE69" s="10" t="s">
        <v>711</v>
      </c>
      <c r="AF69">
        <v>26</v>
      </c>
      <c r="AG69">
        <v>0</v>
      </c>
      <c r="AH69">
        <v>0</v>
      </c>
      <c r="AJ69" s="10" t="s">
        <v>12</v>
      </c>
      <c r="AK69" t="s">
        <v>12</v>
      </c>
      <c r="AL69" t="s">
        <v>12</v>
      </c>
      <c r="AM69" t="s">
        <v>12</v>
      </c>
    </row>
    <row r="70" spans="1:39" x14ac:dyDescent="0.25">
      <c r="A70" t="s">
        <v>238</v>
      </c>
      <c r="C70" t="s">
        <v>719</v>
      </c>
      <c r="D70" t="s">
        <v>720</v>
      </c>
      <c r="E70" t="s">
        <v>721</v>
      </c>
      <c r="F70" t="s">
        <v>24</v>
      </c>
      <c r="G70" t="s">
        <v>722</v>
      </c>
      <c r="H70" t="s">
        <v>12</v>
      </c>
      <c r="I70" t="s">
        <v>247</v>
      </c>
      <c r="J70" s="12">
        <f t="shared" si="0"/>
        <v>3</v>
      </c>
      <c r="K70" s="10" t="s">
        <v>723</v>
      </c>
      <c r="L70">
        <v>305</v>
      </c>
      <c r="M70" s="3">
        <v>1</v>
      </c>
      <c r="N70">
        <v>3</v>
      </c>
      <c r="O70" t="s">
        <v>661</v>
      </c>
      <c r="P70" s="10" t="s">
        <v>12</v>
      </c>
      <c r="Q70" t="s">
        <v>12</v>
      </c>
      <c r="R70" t="s">
        <v>12</v>
      </c>
      <c r="S70" t="s">
        <v>12</v>
      </c>
      <c r="U70" s="10" t="s">
        <v>12</v>
      </c>
      <c r="V70" t="s">
        <v>12</v>
      </c>
      <c r="W70" t="s">
        <v>12</v>
      </c>
      <c r="X70" t="s">
        <v>12</v>
      </c>
      <c r="Z70" s="10" t="s">
        <v>12</v>
      </c>
      <c r="AA70" t="s">
        <v>12</v>
      </c>
      <c r="AB70" t="s">
        <v>12</v>
      </c>
      <c r="AC70" t="s">
        <v>12</v>
      </c>
      <c r="AE70" s="10" t="s">
        <v>12</v>
      </c>
      <c r="AF70" t="s">
        <v>12</v>
      </c>
      <c r="AG70" t="s">
        <v>12</v>
      </c>
      <c r="AH70" t="s">
        <v>12</v>
      </c>
      <c r="AJ70" s="10" t="s">
        <v>12</v>
      </c>
      <c r="AK70" t="s">
        <v>12</v>
      </c>
      <c r="AL70" t="s">
        <v>12</v>
      </c>
      <c r="AM70" t="s">
        <v>12</v>
      </c>
    </row>
    <row r="71" spans="1:39" x14ac:dyDescent="0.25">
      <c r="A71" t="s">
        <v>238</v>
      </c>
      <c r="C71" t="s">
        <v>719</v>
      </c>
      <c r="D71" t="s">
        <v>720</v>
      </c>
      <c r="E71" t="s">
        <v>721</v>
      </c>
      <c r="F71" t="s">
        <v>24</v>
      </c>
      <c r="G71" t="s">
        <v>722</v>
      </c>
      <c r="H71" t="s">
        <v>12</v>
      </c>
      <c r="I71" t="s">
        <v>442</v>
      </c>
      <c r="J71" s="12">
        <f t="shared" ref="J71:J156" si="1">SUM(N71,X71,AH71)</f>
        <v>0</v>
      </c>
      <c r="K71" s="10" t="s">
        <v>725</v>
      </c>
      <c r="L71">
        <v>252</v>
      </c>
      <c r="M71" s="1">
        <v>0</v>
      </c>
      <c r="N71">
        <v>0</v>
      </c>
      <c r="O71" t="s">
        <v>81</v>
      </c>
      <c r="P71" s="10" t="s">
        <v>12</v>
      </c>
      <c r="Q71" t="s">
        <v>12</v>
      </c>
      <c r="R71" t="s">
        <v>12</v>
      </c>
      <c r="S71" t="s">
        <v>12</v>
      </c>
      <c r="U71" s="10" t="s">
        <v>12</v>
      </c>
      <c r="V71" t="s">
        <v>12</v>
      </c>
      <c r="W71" t="s">
        <v>12</v>
      </c>
      <c r="X71" t="s">
        <v>12</v>
      </c>
      <c r="Z71" s="10" t="s">
        <v>12</v>
      </c>
      <c r="AA71" t="s">
        <v>12</v>
      </c>
      <c r="AB71" t="s">
        <v>12</v>
      </c>
      <c r="AC71" t="s">
        <v>12</v>
      </c>
      <c r="AE71" s="10" t="s">
        <v>724</v>
      </c>
      <c r="AF71">
        <v>377</v>
      </c>
      <c r="AG71">
        <v>0</v>
      </c>
      <c r="AH71">
        <v>0</v>
      </c>
      <c r="AJ71" s="10" t="s">
        <v>12</v>
      </c>
      <c r="AK71" t="s">
        <v>12</v>
      </c>
      <c r="AL71" t="s">
        <v>12</v>
      </c>
      <c r="AM71" t="s">
        <v>12</v>
      </c>
    </row>
    <row r="72" spans="1:39" x14ac:dyDescent="0.25">
      <c r="A72" t="s">
        <v>238</v>
      </c>
      <c r="C72" t="s">
        <v>719</v>
      </c>
      <c r="D72" t="s">
        <v>720</v>
      </c>
      <c r="E72" t="s">
        <v>721</v>
      </c>
      <c r="F72" t="s">
        <v>24</v>
      </c>
      <c r="G72" t="s">
        <v>722</v>
      </c>
      <c r="H72" t="s">
        <v>12</v>
      </c>
      <c r="I72" t="s">
        <v>258</v>
      </c>
      <c r="J72" s="12">
        <f t="shared" si="1"/>
        <v>0</v>
      </c>
      <c r="K72" s="10" t="s">
        <v>746</v>
      </c>
      <c r="L72">
        <v>1247</v>
      </c>
      <c r="M72">
        <v>1</v>
      </c>
      <c r="N72" s="7">
        <v>0</v>
      </c>
      <c r="O72" t="s">
        <v>1034</v>
      </c>
      <c r="P72" s="10" t="s">
        <v>12</v>
      </c>
      <c r="Q72" t="s">
        <v>12</v>
      </c>
      <c r="R72" t="s">
        <v>12</v>
      </c>
      <c r="S72" t="s">
        <v>12</v>
      </c>
      <c r="U72" s="10" t="s">
        <v>12</v>
      </c>
      <c r="V72" t="s">
        <v>12</v>
      </c>
      <c r="W72" t="s">
        <v>12</v>
      </c>
      <c r="X72" t="s">
        <v>12</v>
      </c>
      <c r="Z72" s="10" t="s">
        <v>12</v>
      </c>
      <c r="AA72" t="s">
        <v>12</v>
      </c>
      <c r="AB72" t="s">
        <v>12</v>
      </c>
      <c r="AC72" t="s">
        <v>12</v>
      </c>
      <c r="AE72" s="10" t="s">
        <v>12</v>
      </c>
      <c r="AF72" t="s">
        <v>12</v>
      </c>
      <c r="AG72" t="s">
        <v>12</v>
      </c>
      <c r="AH72" t="s">
        <v>12</v>
      </c>
      <c r="AJ72" s="10" t="s">
        <v>12</v>
      </c>
      <c r="AK72" t="s">
        <v>12</v>
      </c>
      <c r="AL72" t="s">
        <v>12</v>
      </c>
      <c r="AM72" t="s">
        <v>12</v>
      </c>
    </row>
    <row r="73" spans="1:39" x14ac:dyDescent="0.25">
      <c r="A73" t="s">
        <v>239</v>
      </c>
      <c r="B73" t="s">
        <v>232</v>
      </c>
      <c r="C73" t="s">
        <v>793</v>
      </c>
      <c r="D73" t="s">
        <v>794</v>
      </c>
      <c r="E73" t="s">
        <v>726</v>
      </c>
      <c r="F73" t="s">
        <v>56</v>
      </c>
      <c r="G73" t="s">
        <v>727</v>
      </c>
      <c r="H73" t="s">
        <v>12</v>
      </c>
      <c r="I73" t="s">
        <v>96</v>
      </c>
      <c r="J73" s="12">
        <f t="shared" si="1"/>
        <v>0</v>
      </c>
      <c r="K73" s="10" t="s">
        <v>616</v>
      </c>
      <c r="L73">
        <v>13</v>
      </c>
      <c r="M73" s="1">
        <v>0</v>
      </c>
      <c r="N73">
        <v>0</v>
      </c>
      <c r="O73" t="s">
        <v>663</v>
      </c>
      <c r="P73" s="10" t="s">
        <v>12</v>
      </c>
      <c r="Q73" t="s">
        <v>12</v>
      </c>
      <c r="R73" t="s">
        <v>12</v>
      </c>
      <c r="S73" t="s">
        <v>12</v>
      </c>
      <c r="U73" s="10" t="s">
        <v>12</v>
      </c>
      <c r="V73" t="s">
        <v>12</v>
      </c>
      <c r="W73" t="s">
        <v>12</v>
      </c>
      <c r="X73" t="s">
        <v>12</v>
      </c>
      <c r="Z73" s="10" t="s">
        <v>12</v>
      </c>
      <c r="AA73" t="s">
        <v>12</v>
      </c>
      <c r="AB73" t="s">
        <v>12</v>
      </c>
      <c r="AC73" t="s">
        <v>12</v>
      </c>
      <c r="AE73" s="10" t="s">
        <v>12</v>
      </c>
      <c r="AF73" t="s">
        <v>12</v>
      </c>
      <c r="AG73" t="s">
        <v>12</v>
      </c>
      <c r="AH73" t="s">
        <v>12</v>
      </c>
      <c r="AJ73" s="10" t="s">
        <v>12</v>
      </c>
      <c r="AK73" t="s">
        <v>12</v>
      </c>
      <c r="AL73" t="s">
        <v>12</v>
      </c>
      <c r="AM73" t="s">
        <v>12</v>
      </c>
    </row>
    <row r="74" spans="1:39" x14ac:dyDescent="0.25">
      <c r="A74" t="s">
        <v>239</v>
      </c>
      <c r="B74" t="s">
        <v>232</v>
      </c>
      <c r="C74" t="s">
        <v>793</v>
      </c>
      <c r="D74" t="s">
        <v>794</v>
      </c>
      <c r="E74" t="s">
        <v>726</v>
      </c>
      <c r="F74" t="s">
        <v>56</v>
      </c>
      <c r="G74" t="s">
        <v>727</v>
      </c>
      <c r="H74" t="s">
        <v>12</v>
      </c>
      <c r="I74" t="s">
        <v>96</v>
      </c>
      <c r="J74" s="12">
        <f t="shared" si="1"/>
        <v>0</v>
      </c>
      <c r="K74" s="10" t="s">
        <v>617</v>
      </c>
      <c r="L74">
        <v>6</v>
      </c>
      <c r="M74" s="1">
        <v>0</v>
      </c>
      <c r="N74">
        <v>0</v>
      </c>
      <c r="O74" t="s">
        <v>81</v>
      </c>
      <c r="P74" s="10" t="s">
        <v>12</v>
      </c>
      <c r="Q74" t="s">
        <v>12</v>
      </c>
      <c r="R74" t="s">
        <v>12</v>
      </c>
      <c r="S74" t="s">
        <v>12</v>
      </c>
      <c r="U74" s="10" t="s">
        <v>12</v>
      </c>
      <c r="V74" t="s">
        <v>12</v>
      </c>
      <c r="W74" t="s">
        <v>12</v>
      </c>
      <c r="X74" t="s">
        <v>12</v>
      </c>
      <c r="Z74" s="10" t="s">
        <v>12</v>
      </c>
      <c r="AA74" t="s">
        <v>12</v>
      </c>
      <c r="AB74" t="s">
        <v>12</v>
      </c>
      <c r="AC74" t="s">
        <v>12</v>
      </c>
      <c r="AE74" s="10" t="s">
        <v>12</v>
      </c>
      <c r="AF74" t="s">
        <v>12</v>
      </c>
      <c r="AG74" t="s">
        <v>12</v>
      </c>
      <c r="AH74" t="s">
        <v>12</v>
      </c>
      <c r="AJ74" s="10" t="s">
        <v>12</v>
      </c>
      <c r="AK74" t="s">
        <v>12</v>
      </c>
      <c r="AL74" t="s">
        <v>12</v>
      </c>
      <c r="AM74" t="s">
        <v>12</v>
      </c>
    </row>
    <row r="75" spans="1:39" x14ac:dyDescent="0.25">
      <c r="A75" t="s">
        <v>239</v>
      </c>
      <c r="B75" t="s">
        <v>232</v>
      </c>
      <c r="C75" t="s">
        <v>793</v>
      </c>
      <c r="D75" t="s">
        <v>794</v>
      </c>
      <c r="E75" t="s">
        <v>726</v>
      </c>
      <c r="F75" t="s">
        <v>56</v>
      </c>
      <c r="G75" t="s">
        <v>727</v>
      </c>
      <c r="H75" t="s">
        <v>12</v>
      </c>
      <c r="I75" t="s">
        <v>57</v>
      </c>
      <c r="J75" s="12">
        <f t="shared" si="1"/>
        <v>0</v>
      </c>
      <c r="K75" s="10" t="s">
        <v>605</v>
      </c>
      <c r="L75">
        <v>91</v>
      </c>
      <c r="M75">
        <v>1</v>
      </c>
      <c r="N75" s="7">
        <v>0</v>
      </c>
      <c r="O75" t="s">
        <v>728</v>
      </c>
      <c r="P75" s="10" t="s">
        <v>12</v>
      </c>
      <c r="Q75" t="s">
        <v>12</v>
      </c>
      <c r="R75" t="s">
        <v>12</v>
      </c>
      <c r="S75" t="s">
        <v>12</v>
      </c>
      <c r="U75" s="10" t="s">
        <v>12</v>
      </c>
      <c r="V75" t="s">
        <v>12</v>
      </c>
      <c r="W75" t="s">
        <v>12</v>
      </c>
      <c r="X75" t="s">
        <v>12</v>
      </c>
      <c r="Z75" s="10" t="s">
        <v>12</v>
      </c>
      <c r="AA75" t="s">
        <v>12</v>
      </c>
      <c r="AB75" t="s">
        <v>12</v>
      </c>
      <c r="AC75" t="s">
        <v>12</v>
      </c>
      <c r="AE75" s="10" t="s">
        <v>12</v>
      </c>
      <c r="AF75" t="s">
        <v>12</v>
      </c>
      <c r="AG75" t="s">
        <v>12</v>
      </c>
      <c r="AH75" t="s">
        <v>12</v>
      </c>
      <c r="AJ75" s="10" t="s">
        <v>12</v>
      </c>
      <c r="AK75" t="s">
        <v>12</v>
      </c>
      <c r="AL75" t="s">
        <v>12</v>
      </c>
      <c r="AM75" t="s">
        <v>12</v>
      </c>
    </row>
    <row r="76" spans="1:39" x14ac:dyDescent="0.25">
      <c r="A76" t="s">
        <v>239</v>
      </c>
      <c r="B76" t="s">
        <v>232</v>
      </c>
      <c r="C76" t="s">
        <v>793</v>
      </c>
      <c r="D76" t="s">
        <v>794</v>
      </c>
      <c r="E76" t="s">
        <v>726</v>
      </c>
      <c r="F76" t="s">
        <v>56</v>
      </c>
      <c r="G76" t="s">
        <v>727</v>
      </c>
      <c r="H76" t="s">
        <v>12</v>
      </c>
      <c r="I76">
        <v>1</v>
      </c>
      <c r="J76" s="12">
        <f t="shared" si="1"/>
        <v>0</v>
      </c>
      <c r="K76" s="10" t="s">
        <v>12</v>
      </c>
      <c r="L76" t="s">
        <v>12</v>
      </c>
      <c r="M76" t="s">
        <v>12</v>
      </c>
      <c r="N76" s="4" t="s">
        <v>12</v>
      </c>
      <c r="P76" s="10" t="s">
        <v>12</v>
      </c>
      <c r="Q76" t="s">
        <v>12</v>
      </c>
      <c r="R76" t="s">
        <v>12</v>
      </c>
      <c r="S76" t="s">
        <v>12</v>
      </c>
      <c r="U76" s="10" t="s">
        <v>12</v>
      </c>
      <c r="V76" t="s">
        <v>12</v>
      </c>
      <c r="W76" t="s">
        <v>12</v>
      </c>
      <c r="X76" t="s">
        <v>12</v>
      </c>
      <c r="Z76" s="10" t="s">
        <v>12</v>
      </c>
      <c r="AA76" t="s">
        <v>12</v>
      </c>
      <c r="AB76" t="s">
        <v>12</v>
      </c>
      <c r="AC76" t="s">
        <v>12</v>
      </c>
      <c r="AE76" s="10" t="s">
        <v>795</v>
      </c>
      <c r="AF76">
        <v>20</v>
      </c>
      <c r="AG76">
        <v>0</v>
      </c>
      <c r="AH76">
        <v>0</v>
      </c>
      <c r="AJ76" s="10" t="s">
        <v>12</v>
      </c>
      <c r="AK76" t="s">
        <v>12</v>
      </c>
      <c r="AL76" t="s">
        <v>12</v>
      </c>
      <c r="AM76" t="s">
        <v>12</v>
      </c>
    </row>
    <row r="77" spans="1:39" x14ac:dyDescent="0.25">
      <c r="A77" t="s">
        <v>240</v>
      </c>
      <c r="C77" t="s">
        <v>241</v>
      </c>
      <c r="D77" t="s">
        <v>242</v>
      </c>
      <c r="E77" t="s">
        <v>729</v>
      </c>
      <c r="F77" t="s">
        <v>62</v>
      </c>
      <c r="I77">
        <v>1</v>
      </c>
      <c r="J77" s="12">
        <f t="shared" si="1"/>
        <v>0</v>
      </c>
      <c r="K77" s="10" t="s">
        <v>731</v>
      </c>
      <c r="L77">
        <v>252</v>
      </c>
      <c r="M77" s="1">
        <v>0</v>
      </c>
      <c r="N77">
        <v>0</v>
      </c>
      <c r="O77" t="s">
        <v>81</v>
      </c>
      <c r="P77" s="10" t="s">
        <v>12</v>
      </c>
      <c r="Q77" t="s">
        <v>12</v>
      </c>
      <c r="R77" t="s">
        <v>12</v>
      </c>
      <c r="S77" t="s">
        <v>12</v>
      </c>
      <c r="U77" s="10" t="s">
        <v>730</v>
      </c>
      <c r="V77">
        <v>8061</v>
      </c>
      <c r="W77">
        <v>0</v>
      </c>
      <c r="X77">
        <v>0</v>
      </c>
      <c r="Z77" s="10" t="s">
        <v>12</v>
      </c>
      <c r="AA77" t="s">
        <v>12</v>
      </c>
      <c r="AB77" t="s">
        <v>12</v>
      </c>
      <c r="AC77" t="s">
        <v>12</v>
      </c>
      <c r="AE77" s="10" t="s">
        <v>12</v>
      </c>
      <c r="AF77" t="s">
        <v>12</v>
      </c>
      <c r="AG77" t="s">
        <v>12</v>
      </c>
      <c r="AH77" t="s">
        <v>12</v>
      </c>
      <c r="AJ77" s="10" t="s">
        <v>12</v>
      </c>
      <c r="AK77" t="s">
        <v>12</v>
      </c>
      <c r="AL77" t="s">
        <v>12</v>
      </c>
      <c r="AM77" t="s">
        <v>12</v>
      </c>
    </row>
    <row r="78" spans="1:39" x14ac:dyDescent="0.25">
      <c r="A78" t="s">
        <v>120</v>
      </c>
      <c r="C78" t="s">
        <v>243</v>
      </c>
      <c r="D78" t="s">
        <v>244</v>
      </c>
      <c r="E78" t="s">
        <v>732</v>
      </c>
      <c r="F78" t="s">
        <v>56</v>
      </c>
      <c r="I78" t="s">
        <v>124</v>
      </c>
      <c r="J78" s="12">
        <f>SUM(N78,AC78,AH78)</f>
        <v>0</v>
      </c>
      <c r="K78" s="10" t="s">
        <v>12</v>
      </c>
      <c r="L78" t="s">
        <v>12</v>
      </c>
      <c r="M78" s="2" t="s">
        <v>12</v>
      </c>
      <c r="N78" t="s">
        <v>12</v>
      </c>
      <c r="P78" s="10" t="s">
        <v>12</v>
      </c>
      <c r="Q78" t="s">
        <v>12</v>
      </c>
      <c r="R78" t="s">
        <v>12</v>
      </c>
      <c r="S78" t="s">
        <v>12</v>
      </c>
      <c r="U78" s="10" t="s">
        <v>12</v>
      </c>
      <c r="V78" t="s">
        <v>12</v>
      </c>
      <c r="W78" t="s">
        <v>12</v>
      </c>
      <c r="X78" t="s">
        <v>12</v>
      </c>
      <c r="Z78" s="10" t="s">
        <v>634</v>
      </c>
      <c r="AA78">
        <v>41</v>
      </c>
      <c r="AB78">
        <v>0</v>
      </c>
      <c r="AC78">
        <v>0</v>
      </c>
      <c r="AE78" s="10" t="s">
        <v>12</v>
      </c>
      <c r="AF78" t="s">
        <v>12</v>
      </c>
      <c r="AG78" t="s">
        <v>12</v>
      </c>
      <c r="AH78" t="s">
        <v>12</v>
      </c>
      <c r="AJ78" s="10" t="s">
        <v>12</v>
      </c>
      <c r="AK78" t="s">
        <v>12</v>
      </c>
      <c r="AL78" t="s">
        <v>12</v>
      </c>
      <c r="AM78" t="s">
        <v>12</v>
      </c>
    </row>
    <row r="79" spans="1:39" x14ac:dyDescent="0.25">
      <c r="A79" t="s">
        <v>245</v>
      </c>
      <c r="C79" t="s">
        <v>246</v>
      </c>
      <c r="D79" t="s">
        <v>247</v>
      </c>
      <c r="E79" t="s">
        <v>733</v>
      </c>
      <c r="F79" t="s">
        <v>24</v>
      </c>
      <c r="G79" t="s">
        <v>722</v>
      </c>
      <c r="H79" t="s">
        <v>12</v>
      </c>
      <c r="I79">
        <v>1</v>
      </c>
      <c r="J79" s="12">
        <f t="shared" si="1"/>
        <v>3</v>
      </c>
      <c r="K79" s="10" t="s">
        <v>723</v>
      </c>
      <c r="L79">
        <v>305</v>
      </c>
      <c r="M79" s="3">
        <v>1</v>
      </c>
      <c r="N79">
        <v>3</v>
      </c>
      <c r="O79" t="s">
        <v>661</v>
      </c>
      <c r="P79" s="10" t="s">
        <v>12</v>
      </c>
      <c r="Q79" t="s">
        <v>12</v>
      </c>
      <c r="R79" t="s">
        <v>12</v>
      </c>
      <c r="S79" t="s">
        <v>12</v>
      </c>
      <c r="U79" s="10" t="s">
        <v>12</v>
      </c>
      <c r="V79" t="s">
        <v>12</v>
      </c>
      <c r="W79" t="s">
        <v>12</v>
      </c>
      <c r="X79" t="s">
        <v>12</v>
      </c>
      <c r="Z79" s="10" t="s">
        <v>12</v>
      </c>
      <c r="AA79" t="s">
        <v>12</v>
      </c>
      <c r="AB79" t="s">
        <v>12</v>
      </c>
      <c r="AC79" t="s">
        <v>12</v>
      </c>
      <c r="AE79" s="10" t="s">
        <v>12</v>
      </c>
      <c r="AF79" t="s">
        <v>12</v>
      </c>
      <c r="AG79" t="s">
        <v>12</v>
      </c>
      <c r="AH79" t="s">
        <v>12</v>
      </c>
      <c r="AJ79" s="10" t="s">
        <v>12</v>
      </c>
      <c r="AK79" t="s">
        <v>12</v>
      </c>
      <c r="AL79" t="s">
        <v>12</v>
      </c>
      <c r="AM79" t="s">
        <v>12</v>
      </c>
    </row>
    <row r="80" spans="1:39" x14ac:dyDescent="0.25">
      <c r="A80" t="s">
        <v>245</v>
      </c>
      <c r="C80" t="s">
        <v>246</v>
      </c>
      <c r="D80" t="s">
        <v>247</v>
      </c>
      <c r="E80" t="s">
        <v>733</v>
      </c>
      <c r="F80" t="s">
        <v>24</v>
      </c>
      <c r="G80" t="s">
        <v>722</v>
      </c>
      <c r="H80" t="s">
        <v>12</v>
      </c>
      <c r="I80" t="s">
        <v>442</v>
      </c>
      <c r="J80" s="12">
        <f t="shared" ref="J80:J81" si="2">SUM(N80,X80,AH80)</f>
        <v>0</v>
      </c>
      <c r="K80" s="10" t="s">
        <v>725</v>
      </c>
      <c r="L80">
        <v>252</v>
      </c>
      <c r="M80" s="1">
        <v>0</v>
      </c>
      <c r="N80">
        <v>0</v>
      </c>
      <c r="O80" t="s">
        <v>81</v>
      </c>
      <c r="P80" s="10" t="s">
        <v>12</v>
      </c>
      <c r="Q80" t="s">
        <v>12</v>
      </c>
      <c r="R80" t="s">
        <v>12</v>
      </c>
      <c r="S80" t="s">
        <v>12</v>
      </c>
      <c r="U80" s="10" t="s">
        <v>12</v>
      </c>
      <c r="V80" t="s">
        <v>12</v>
      </c>
      <c r="W80" t="s">
        <v>12</v>
      </c>
      <c r="X80" t="s">
        <v>12</v>
      </c>
      <c r="Z80" s="10" t="s">
        <v>12</v>
      </c>
      <c r="AA80" t="s">
        <v>12</v>
      </c>
      <c r="AB80" t="s">
        <v>12</v>
      </c>
      <c r="AC80" t="s">
        <v>12</v>
      </c>
      <c r="AE80" s="10" t="s">
        <v>724</v>
      </c>
      <c r="AF80">
        <v>377</v>
      </c>
      <c r="AG80">
        <v>0</v>
      </c>
      <c r="AH80">
        <v>0</v>
      </c>
      <c r="AJ80" t="s">
        <v>12</v>
      </c>
      <c r="AK80" t="s">
        <v>12</v>
      </c>
      <c r="AL80" t="s">
        <v>12</v>
      </c>
      <c r="AM80" t="s">
        <v>12</v>
      </c>
    </row>
    <row r="81" spans="1:39" x14ac:dyDescent="0.25">
      <c r="A81" t="s">
        <v>245</v>
      </c>
      <c r="C81" t="s">
        <v>246</v>
      </c>
      <c r="D81" t="s">
        <v>247</v>
      </c>
      <c r="E81" t="s">
        <v>733</v>
      </c>
      <c r="F81" t="s">
        <v>24</v>
      </c>
      <c r="G81" t="s">
        <v>722</v>
      </c>
      <c r="H81" t="s">
        <v>12</v>
      </c>
      <c r="I81" t="s">
        <v>258</v>
      </c>
      <c r="J81" s="12">
        <f t="shared" si="2"/>
        <v>0</v>
      </c>
      <c r="K81" s="10" t="s">
        <v>746</v>
      </c>
      <c r="L81">
        <v>1247</v>
      </c>
      <c r="M81" s="4">
        <v>1</v>
      </c>
      <c r="N81" s="7">
        <v>0</v>
      </c>
      <c r="O81" t="s">
        <v>1034</v>
      </c>
      <c r="P81" s="10" t="s">
        <v>12</v>
      </c>
      <c r="Q81" t="s">
        <v>12</v>
      </c>
      <c r="R81" t="s">
        <v>12</v>
      </c>
      <c r="S81" t="s">
        <v>12</v>
      </c>
      <c r="U81" s="10" t="s">
        <v>12</v>
      </c>
      <c r="V81" t="s">
        <v>12</v>
      </c>
      <c r="W81" t="s">
        <v>12</v>
      </c>
      <c r="X81" t="s">
        <v>12</v>
      </c>
      <c r="Z81" s="10" t="s">
        <v>12</v>
      </c>
      <c r="AA81" t="s">
        <v>12</v>
      </c>
      <c r="AB81" t="s">
        <v>12</v>
      </c>
      <c r="AC81" t="s">
        <v>12</v>
      </c>
      <c r="AE81" s="10" t="s">
        <v>12</v>
      </c>
      <c r="AF81" t="s">
        <v>12</v>
      </c>
      <c r="AG81" t="s">
        <v>12</v>
      </c>
      <c r="AH81" t="s">
        <v>12</v>
      </c>
      <c r="AJ81" s="10" t="s">
        <v>12</v>
      </c>
      <c r="AK81" t="s">
        <v>12</v>
      </c>
      <c r="AL81" t="s">
        <v>12</v>
      </c>
      <c r="AM81" t="s">
        <v>12</v>
      </c>
    </row>
    <row r="82" spans="1:39" x14ac:dyDescent="0.25">
      <c r="A82" t="s">
        <v>248</v>
      </c>
      <c r="C82" t="s">
        <v>249</v>
      </c>
      <c r="D82" t="s">
        <v>250</v>
      </c>
      <c r="E82" t="s">
        <v>734</v>
      </c>
      <c r="F82" t="s">
        <v>24</v>
      </c>
      <c r="I82">
        <v>1</v>
      </c>
      <c r="J82" s="12">
        <f t="shared" si="1"/>
        <v>2</v>
      </c>
      <c r="K82" s="10" t="s">
        <v>673</v>
      </c>
      <c r="L82">
        <v>2</v>
      </c>
      <c r="M82" s="3">
        <v>1</v>
      </c>
      <c r="N82">
        <v>2</v>
      </c>
      <c r="O82" t="s">
        <v>662</v>
      </c>
      <c r="P82" s="10" t="s">
        <v>12</v>
      </c>
      <c r="Q82" t="s">
        <v>12</v>
      </c>
      <c r="R82" t="s">
        <v>12</v>
      </c>
      <c r="S82" t="s">
        <v>12</v>
      </c>
      <c r="U82" s="10" t="s">
        <v>12</v>
      </c>
      <c r="V82" t="s">
        <v>12</v>
      </c>
      <c r="W82" t="s">
        <v>12</v>
      </c>
      <c r="X82" t="s">
        <v>12</v>
      </c>
      <c r="Z82" s="10" t="s">
        <v>12</v>
      </c>
      <c r="AA82" t="s">
        <v>12</v>
      </c>
      <c r="AB82" t="s">
        <v>12</v>
      </c>
      <c r="AC82" t="s">
        <v>12</v>
      </c>
      <c r="AE82" s="10" t="s">
        <v>12</v>
      </c>
      <c r="AF82" t="s">
        <v>12</v>
      </c>
      <c r="AG82" t="s">
        <v>12</v>
      </c>
      <c r="AH82" t="s">
        <v>12</v>
      </c>
      <c r="AJ82" s="10" t="s">
        <v>12</v>
      </c>
      <c r="AK82" t="s">
        <v>12</v>
      </c>
      <c r="AL82" t="s">
        <v>12</v>
      </c>
      <c r="AM82" t="s">
        <v>12</v>
      </c>
    </row>
    <row r="83" spans="1:39" x14ac:dyDescent="0.25">
      <c r="A83" t="s">
        <v>251</v>
      </c>
      <c r="B83" t="s">
        <v>252</v>
      </c>
      <c r="C83" t="s">
        <v>253</v>
      </c>
      <c r="D83" t="s">
        <v>254</v>
      </c>
      <c r="E83" t="s">
        <v>735</v>
      </c>
      <c r="F83" t="s">
        <v>736</v>
      </c>
      <c r="G83" t="s">
        <v>737</v>
      </c>
      <c r="H83" t="s">
        <v>12</v>
      </c>
      <c r="I83">
        <v>1</v>
      </c>
      <c r="J83" s="12">
        <f t="shared" si="1"/>
        <v>3</v>
      </c>
      <c r="K83" s="10" t="s">
        <v>754</v>
      </c>
      <c r="L83">
        <v>266</v>
      </c>
      <c r="M83" s="1">
        <v>1</v>
      </c>
      <c r="N83">
        <v>3</v>
      </c>
      <c r="O83" t="s">
        <v>755</v>
      </c>
      <c r="P83" s="10" t="s">
        <v>752</v>
      </c>
      <c r="Q83">
        <v>9</v>
      </c>
      <c r="R83">
        <v>0</v>
      </c>
      <c r="S83">
        <v>0</v>
      </c>
      <c r="U83" s="10" t="s">
        <v>738</v>
      </c>
      <c r="V83">
        <v>124</v>
      </c>
      <c r="W83">
        <v>0</v>
      </c>
      <c r="X83">
        <v>0</v>
      </c>
      <c r="Z83" s="10" t="s">
        <v>12</v>
      </c>
      <c r="AA83" t="s">
        <v>12</v>
      </c>
      <c r="AB83" t="s">
        <v>12</v>
      </c>
      <c r="AC83" t="s">
        <v>12</v>
      </c>
      <c r="AE83" s="10" t="s">
        <v>12</v>
      </c>
      <c r="AF83" t="s">
        <v>12</v>
      </c>
      <c r="AG83" t="s">
        <v>12</v>
      </c>
      <c r="AH83" t="s">
        <v>12</v>
      </c>
      <c r="AJ83" s="10" t="s">
        <v>12</v>
      </c>
      <c r="AK83" t="s">
        <v>12</v>
      </c>
      <c r="AL83" t="s">
        <v>12</v>
      </c>
      <c r="AM83" t="s">
        <v>12</v>
      </c>
    </row>
    <row r="84" spans="1:39" x14ac:dyDescent="0.25">
      <c r="A84" t="s">
        <v>251</v>
      </c>
      <c r="B84" t="s">
        <v>252</v>
      </c>
      <c r="C84" t="s">
        <v>253</v>
      </c>
      <c r="D84" t="s">
        <v>254</v>
      </c>
      <c r="E84" t="s">
        <v>735</v>
      </c>
      <c r="F84" t="s">
        <v>764</v>
      </c>
      <c r="G84" t="s">
        <v>737</v>
      </c>
      <c r="H84" t="s">
        <v>12</v>
      </c>
      <c r="I84">
        <v>1</v>
      </c>
      <c r="J84" s="12">
        <f t="shared" ref="J84" si="3">SUM(N84,X84,AH84)</f>
        <v>0</v>
      </c>
      <c r="K84" s="10" t="s">
        <v>753</v>
      </c>
      <c r="L84">
        <v>2</v>
      </c>
      <c r="M84" s="4">
        <v>1</v>
      </c>
      <c r="N84" s="7">
        <v>0</v>
      </c>
      <c r="O84" t="s">
        <v>668</v>
      </c>
      <c r="P84" s="10" t="s">
        <v>12</v>
      </c>
      <c r="Q84" t="s">
        <v>12</v>
      </c>
      <c r="R84" t="s">
        <v>12</v>
      </c>
      <c r="S84" t="s">
        <v>12</v>
      </c>
      <c r="U84" s="10" t="s">
        <v>12</v>
      </c>
      <c r="V84" t="s">
        <v>12</v>
      </c>
      <c r="W84" t="s">
        <v>12</v>
      </c>
      <c r="X84" t="s">
        <v>12</v>
      </c>
      <c r="Z84" s="10" t="s">
        <v>12</v>
      </c>
      <c r="AA84" t="s">
        <v>12</v>
      </c>
      <c r="AB84" t="s">
        <v>12</v>
      </c>
      <c r="AC84" t="s">
        <v>12</v>
      </c>
      <c r="AE84" s="10" t="s">
        <v>12</v>
      </c>
      <c r="AF84" t="s">
        <v>12</v>
      </c>
      <c r="AG84" t="s">
        <v>12</v>
      </c>
      <c r="AH84" t="s">
        <v>12</v>
      </c>
      <c r="AJ84" s="10" t="s">
        <v>12</v>
      </c>
      <c r="AK84" t="s">
        <v>12</v>
      </c>
      <c r="AL84" t="s">
        <v>12</v>
      </c>
      <c r="AM84" t="s">
        <v>12</v>
      </c>
    </row>
    <row r="85" spans="1:39" x14ac:dyDescent="0.25">
      <c r="A85" t="s">
        <v>255</v>
      </c>
      <c r="C85" t="s">
        <v>256</v>
      </c>
      <c r="D85" t="s">
        <v>257</v>
      </c>
      <c r="E85" t="s">
        <v>739</v>
      </c>
      <c r="F85" t="s">
        <v>115</v>
      </c>
      <c r="G85" t="s">
        <v>740</v>
      </c>
      <c r="H85" t="s">
        <v>12</v>
      </c>
      <c r="I85">
        <v>1</v>
      </c>
      <c r="J85" s="12">
        <f t="shared" si="1"/>
        <v>3</v>
      </c>
      <c r="K85" s="10" t="s">
        <v>747</v>
      </c>
      <c r="L85">
        <v>18</v>
      </c>
      <c r="M85" s="1">
        <v>1</v>
      </c>
      <c r="N85">
        <v>3</v>
      </c>
      <c r="O85" t="s">
        <v>661</v>
      </c>
      <c r="P85" s="10" t="s">
        <v>12</v>
      </c>
      <c r="Q85" t="s">
        <v>12</v>
      </c>
      <c r="R85" t="s">
        <v>12</v>
      </c>
      <c r="S85" t="s">
        <v>12</v>
      </c>
      <c r="U85" s="10" t="s">
        <v>12</v>
      </c>
      <c r="V85" t="s">
        <v>12</v>
      </c>
      <c r="W85" t="s">
        <v>12</v>
      </c>
      <c r="X85" t="s">
        <v>12</v>
      </c>
      <c r="Z85" s="10" t="s">
        <v>12</v>
      </c>
      <c r="AA85" t="s">
        <v>12</v>
      </c>
      <c r="AB85" t="s">
        <v>12</v>
      </c>
      <c r="AC85" t="s">
        <v>12</v>
      </c>
      <c r="AE85" s="10" t="s">
        <v>12</v>
      </c>
      <c r="AF85" t="s">
        <v>12</v>
      </c>
      <c r="AG85" t="s">
        <v>12</v>
      </c>
      <c r="AH85" t="s">
        <v>12</v>
      </c>
      <c r="AJ85" s="10" t="s">
        <v>12</v>
      </c>
      <c r="AK85" t="s">
        <v>12</v>
      </c>
      <c r="AL85" t="s">
        <v>12</v>
      </c>
      <c r="AM85" t="s">
        <v>12</v>
      </c>
    </row>
    <row r="86" spans="1:39" x14ac:dyDescent="0.25">
      <c r="A86" t="s">
        <v>255</v>
      </c>
      <c r="C86" t="s">
        <v>256</v>
      </c>
      <c r="D86" t="s">
        <v>257</v>
      </c>
      <c r="E86" t="s">
        <v>739</v>
      </c>
      <c r="F86" t="s">
        <v>115</v>
      </c>
      <c r="G86" t="s">
        <v>740</v>
      </c>
      <c r="H86" t="s">
        <v>12</v>
      </c>
      <c r="I86" t="s">
        <v>113</v>
      </c>
      <c r="K86" s="10" t="s">
        <v>619</v>
      </c>
      <c r="L86">
        <v>51</v>
      </c>
      <c r="M86" s="1">
        <v>0</v>
      </c>
      <c r="N86">
        <v>0</v>
      </c>
      <c r="O86" t="s">
        <v>81</v>
      </c>
      <c r="P86" s="10" t="s">
        <v>12</v>
      </c>
      <c r="Q86" t="s">
        <v>12</v>
      </c>
      <c r="R86" t="s">
        <v>12</v>
      </c>
      <c r="S86" t="s">
        <v>12</v>
      </c>
      <c r="U86" s="10" t="s">
        <v>12</v>
      </c>
      <c r="V86" t="s">
        <v>12</v>
      </c>
      <c r="W86" t="s">
        <v>12</v>
      </c>
      <c r="X86" t="s">
        <v>12</v>
      </c>
      <c r="Z86" s="10" t="s">
        <v>12</v>
      </c>
      <c r="AA86" t="s">
        <v>12</v>
      </c>
      <c r="AB86" t="s">
        <v>12</v>
      </c>
      <c r="AC86" t="s">
        <v>12</v>
      </c>
      <c r="AE86" s="10" t="s">
        <v>12</v>
      </c>
      <c r="AF86" t="s">
        <v>12</v>
      </c>
      <c r="AG86" t="s">
        <v>12</v>
      </c>
      <c r="AH86" t="s">
        <v>12</v>
      </c>
      <c r="AJ86" s="10" t="s">
        <v>12</v>
      </c>
      <c r="AK86" t="s">
        <v>12</v>
      </c>
      <c r="AL86" t="s">
        <v>12</v>
      </c>
      <c r="AM86" t="s">
        <v>12</v>
      </c>
    </row>
    <row r="87" spans="1:39" x14ac:dyDescent="0.25">
      <c r="A87" t="s">
        <v>255</v>
      </c>
      <c r="C87" t="s">
        <v>256</v>
      </c>
      <c r="D87" t="s">
        <v>257</v>
      </c>
      <c r="E87" t="s">
        <v>739</v>
      </c>
      <c r="F87" t="s">
        <v>115</v>
      </c>
      <c r="G87" t="s">
        <v>740</v>
      </c>
      <c r="H87" t="s">
        <v>12</v>
      </c>
      <c r="I87" t="s">
        <v>118</v>
      </c>
      <c r="K87" s="10" t="s">
        <v>12</v>
      </c>
      <c r="L87" t="s">
        <v>12</v>
      </c>
      <c r="M87" s="2" t="s">
        <v>12</v>
      </c>
      <c r="N87" t="s">
        <v>12</v>
      </c>
      <c r="P87" s="10" t="s">
        <v>12</v>
      </c>
      <c r="Q87" t="s">
        <v>12</v>
      </c>
      <c r="R87" t="s">
        <v>12</v>
      </c>
      <c r="S87" t="s">
        <v>12</v>
      </c>
      <c r="U87" s="10" t="s">
        <v>12</v>
      </c>
      <c r="V87" t="s">
        <v>12</v>
      </c>
      <c r="W87" t="s">
        <v>12</v>
      </c>
      <c r="X87" t="s">
        <v>12</v>
      </c>
      <c r="Z87" s="10" t="s">
        <v>12</v>
      </c>
      <c r="AA87" t="s">
        <v>12</v>
      </c>
      <c r="AB87" t="s">
        <v>12</v>
      </c>
      <c r="AC87" t="s">
        <v>12</v>
      </c>
      <c r="AE87" s="10" t="s">
        <v>12</v>
      </c>
      <c r="AF87" t="s">
        <v>12</v>
      </c>
      <c r="AG87" t="s">
        <v>12</v>
      </c>
      <c r="AH87" t="s">
        <v>12</v>
      </c>
      <c r="AJ87" s="10" t="s">
        <v>12</v>
      </c>
      <c r="AK87" t="s">
        <v>12</v>
      </c>
      <c r="AL87" t="s">
        <v>12</v>
      </c>
      <c r="AM87" t="s">
        <v>12</v>
      </c>
    </row>
    <row r="88" spans="1:39" x14ac:dyDescent="0.25">
      <c r="A88" s="2"/>
      <c r="B88" s="2"/>
      <c r="C88" s="2" t="s">
        <v>258</v>
      </c>
      <c r="D88" s="2" t="s">
        <v>258</v>
      </c>
      <c r="E88" s="2"/>
      <c r="F88" s="2" t="s">
        <v>24</v>
      </c>
      <c r="G88" s="2"/>
      <c r="H88" s="2"/>
      <c r="I88" s="2">
        <v>1</v>
      </c>
      <c r="J88" s="13">
        <f t="shared" si="1"/>
        <v>0</v>
      </c>
      <c r="K88" s="11" t="s">
        <v>746</v>
      </c>
      <c r="L88" s="2">
        <v>1247</v>
      </c>
      <c r="M88" s="2">
        <v>1</v>
      </c>
      <c r="N88" s="2">
        <v>0</v>
      </c>
      <c r="O88" s="2" t="s">
        <v>741</v>
      </c>
      <c r="P88" s="11" t="s">
        <v>12</v>
      </c>
      <c r="Q88" s="2" t="s">
        <v>12</v>
      </c>
      <c r="R88" s="2" t="s">
        <v>12</v>
      </c>
      <c r="S88" s="2" t="s">
        <v>12</v>
      </c>
      <c r="T88" s="2"/>
      <c r="U88" s="11" t="s">
        <v>749</v>
      </c>
      <c r="V88" s="2">
        <v>510</v>
      </c>
      <c r="W88" s="2">
        <v>0</v>
      </c>
      <c r="X88" s="2">
        <v>0</v>
      </c>
      <c r="Y88" s="2"/>
      <c r="Z88" s="11" t="s">
        <v>748</v>
      </c>
      <c r="AA88" s="2">
        <v>14</v>
      </c>
      <c r="AB88" s="2">
        <v>0</v>
      </c>
      <c r="AC88" s="2">
        <v>0</v>
      </c>
      <c r="AD88" s="2"/>
      <c r="AE88" s="11" t="s">
        <v>12</v>
      </c>
      <c r="AF88" s="2" t="s">
        <v>12</v>
      </c>
      <c r="AG88" s="2" t="s">
        <v>12</v>
      </c>
      <c r="AH88" s="2" t="s">
        <v>12</v>
      </c>
      <c r="AI88" s="2"/>
      <c r="AJ88" s="11" t="s">
        <v>12</v>
      </c>
      <c r="AK88" s="2" t="s">
        <v>12</v>
      </c>
      <c r="AL88" s="2" t="s">
        <v>12</v>
      </c>
      <c r="AM88" s="2" t="s">
        <v>12</v>
      </c>
    </row>
    <row r="89" spans="1:39" x14ac:dyDescent="0.25">
      <c r="A89" t="s">
        <v>259</v>
      </c>
      <c r="C89" t="s">
        <v>260</v>
      </c>
      <c r="D89" t="s">
        <v>261</v>
      </c>
      <c r="E89" t="s">
        <v>742</v>
      </c>
      <c r="F89" t="s">
        <v>744</v>
      </c>
      <c r="I89" t="s">
        <v>465</v>
      </c>
      <c r="J89" s="12">
        <f t="shared" si="1"/>
        <v>2</v>
      </c>
      <c r="K89" s="10" t="s">
        <v>743</v>
      </c>
      <c r="L89">
        <v>248</v>
      </c>
      <c r="M89" s="3">
        <v>1</v>
      </c>
      <c r="N89">
        <v>2</v>
      </c>
      <c r="O89" t="s">
        <v>662</v>
      </c>
      <c r="P89" s="10" t="s">
        <v>12</v>
      </c>
      <c r="Q89" t="s">
        <v>12</v>
      </c>
      <c r="R89" t="s">
        <v>12</v>
      </c>
      <c r="S89" t="s">
        <v>12</v>
      </c>
      <c r="U89" s="10" t="s">
        <v>12</v>
      </c>
      <c r="V89" t="s">
        <v>12</v>
      </c>
      <c r="W89" t="s">
        <v>12</v>
      </c>
      <c r="X89" t="s">
        <v>12</v>
      </c>
      <c r="Z89" s="10" t="s">
        <v>12</v>
      </c>
      <c r="AA89" t="s">
        <v>12</v>
      </c>
      <c r="AB89" t="s">
        <v>12</v>
      </c>
      <c r="AC89" t="s">
        <v>12</v>
      </c>
      <c r="AE89" s="10" t="s">
        <v>12</v>
      </c>
      <c r="AF89" t="s">
        <v>12</v>
      </c>
      <c r="AG89" t="s">
        <v>12</v>
      </c>
      <c r="AH89" t="s">
        <v>12</v>
      </c>
      <c r="AJ89" s="10" t="s">
        <v>12</v>
      </c>
      <c r="AK89" t="s">
        <v>12</v>
      </c>
      <c r="AL89" t="s">
        <v>12</v>
      </c>
      <c r="AM89" t="s">
        <v>12</v>
      </c>
    </row>
    <row r="90" spans="1:39" x14ac:dyDescent="0.25">
      <c r="A90" t="s">
        <v>262</v>
      </c>
      <c r="C90" t="s">
        <v>263</v>
      </c>
      <c r="D90" t="s">
        <v>264</v>
      </c>
      <c r="E90" t="s">
        <v>745</v>
      </c>
      <c r="F90" t="s">
        <v>24</v>
      </c>
      <c r="I90" t="s">
        <v>44</v>
      </c>
      <c r="J90" s="12">
        <f t="shared" si="1"/>
        <v>2</v>
      </c>
      <c r="K90" s="10" t="s">
        <v>603</v>
      </c>
      <c r="L90">
        <v>6</v>
      </c>
      <c r="M90" s="3">
        <v>1</v>
      </c>
      <c r="N90">
        <v>2</v>
      </c>
      <c r="O90" t="s">
        <v>662</v>
      </c>
      <c r="P90" s="10" t="s">
        <v>12</v>
      </c>
      <c r="Q90" t="s">
        <v>12</v>
      </c>
      <c r="R90" t="s">
        <v>12</v>
      </c>
      <c r="S90" t="s">
        <v>12</v>
      </c>
      <c r="U90" s="10" t="s">
        <v>12</v>
      </c>
      <c r="V90" t="s">
        <v>12</v>
      </c>
      <c r="W90" t="s">
        <v>12</v>
      </c>
      <c r="X90" t="s">
        <v>12</v>
      </c>
      <c r="Z90" s="10" t="s">
        <v>12</v>
      </c>
      <c r="AA90" t="s">
        <v>12</v>
      </c>
      <c r="AB90" t="s">
        <v>12</v>
      </c>
      <c r="AC90" t="s">
        <v>12</v>
      </c>
      <c r="AE90" s="10" t="s">
        <v>637</v>
      </c>
      <c r="AF90">
        <v>13</v>
      </c>
      <c r="AG90">
        <v>0</v>
      </c>
      <c r="AH90">
        <v>0</v>
      </c>
      <c r="AJ90" s="10" t="s">
        <v>12</v>
      </c>
      <c r="AK90" t="s">
        <v>12</v>
      </c>
      <c r="AL90" t="s">
        <v>12</v>
      </c>
      <c r="AM90" t="s">
        <v>12</v>
      </c>
    </row>
    <row r="91" spans="1:39" x14ac:dyDescent="0.25">
      <c r="A91" t="s">
        <v>265</v>
      </c>
      <c r="C91" t="s">
        <v>266</v>
      </c>
      <c r="D91" t="s">
        <v>267</v>
      </c>
      <c r="E91" t="s">
        <v>756</v>
      </c>
      <c r="F91" t="s">
        <v>56</v>
      </c>
      <c r="I91">
        <v>1</v>
      </c>
      <c r="J91" s="12">
        <f t="shared" si="1"/>
        <v>0</v>
      </c>
      <c r="K91" s="10" t="s">
        <v>12</v>
      </c>
      <c r="L91" t="s">
        <v>12</v>
      </c>
      <c r="M91" s="2" t="s">
        <v>12</v>
      </c>
      <c r="N91" t="s">
        <v>12</v>
      </c>
      <c r="P91" s="10" t="s">
        <v>12</v>
      </c>
      <c r="Q91" t="s">
        <v>12</v>
      </c>
      <c r="R91" t="s">
        <v>12</v>
      </c>
      <c r="S91" t="s">
        <v>12</v>
      </c>
      <c r="U91" s="10" t="s">
        <v>12</v>
      </c>
      <c r="V91" t="s">
        <v>12</v>
      </c>
      <c r="W91" t="s">
        <v>12</v>
      </c>
      <c r="X91" t="s">
        <v>12</v>
      </c>
      <c r="Z91" s="10" t="s">
        <v>12</v>
      </c>
      <c r="AA91" t="s">
        <v>12</v>
      </c>
      <c r="AB91" t="s">
        <v>12</v>
      </c>
      <c r="AC91" t="s">
        <v>12</v>
      </c>
      <c r="AE91" s="10" t="s">
        <v>757</v>
      </c>
      <c r="AF91">
        <v>10</v>
      </c>
      <c r="AG91">
        <v>0</v>
      </c>
      <c r="AH91">
        <v>0</v>
      </c>
      <c r="AJ91" s="10" t="s">
        <v>12</v>
      </c>
      <c r="AK91" t="s">
        <v>12</v>
      </c>
      <c r="AL91" t="s">
        <v>12</v>
      </c>
      <c r="AM91" t="s">
        <v>12</v>
      </c>
    </row>
    <row r="92" spans="1:39" x14ac:dyDescent="0.25">
      <c r="A92" t="s">
        <v>760</v>
      </c>
      <c r="C92" t="s">
        <v>268</v>
      </c>
      <c r="D92" t="s">
        <v>761</v>
      </c>
      <c r="E92" t="s">
        <v>758</v>
      </c>
      <c r="F92" t="s">
        <v>708</v>
      </c>
      <c r="I92" t="s">
        <v>557</v>
      </c>
      <c r="J92" s="12">
        <f t="shared" si="1"/>
        <v>2</v>
      </c>
      <c r="K92" s="10" t="s">
        <v>759</v>
      </c>
      <c r="L92">
        <v>3</v>
      </c>
      <c r="M92" s="3">
        <v>1</v>
      </c>
      <c r="N92">
        <v>2</v>
      </c>
      <c r="O92" t="s">
        <v>662</v>
      </c>
      <c r="P92" s="10" t="s">
        <v>12</v>
      </c>
      <c r="Q92" t="s">
        <v>12</v>
      </c>
      <c r="R92" t="s">
        <v>12</v>
      </c>
      <c r="S92" t="s">
        <v>12</v>
      </c>
      <c r="U92" s="10" t="s">
        <v>12</v>
      </c>
      <c r="V92" t="s">
        <v>12</v>
      </c>
      <c r="W92" t="s">
        <v>12</v>
      </c>
      <c r="X92" t="s">
        <v>12</v>
      </c>
      <c r="Z92" s="10" t="s">
        <v>12</v>
      </c>
      <c r="AA92" t="s">
        <v>12</v>
      </c>
      <c r="AB92" t="s">
        <v>12</v>
      </c>
      <c r="AC92" t="s">
        <v>12</v>
      </c>
      <c r="AE92" s="10" t="s">
        <v>12</v>
      </c>
      <c r="AF92" t="s">
        <v>12</v>
      </c>
      <c r="AG92" t="s">
        <v>12</v>
      </c>
      <c r="AH92" t="s">
        <v>12</v>
      </c>
      <c r="AJ92" s="10" t="s">
        <v>12</v>
      </c>
      <c r="AK92" t="s">
        <v>12</v>
      </c>
      <c r="AL92" t="s">
        <v>12</v>
      </c>
      <c r="AM92" t="s">
        <v>12</v>
      </c>
    </row>
    <row r="93" spans="1:39" x14ac:dyDescent="0.25">
      <c r="A93" t="s">
        <v>269</v>
      </c>
      <c r="C93" t="s">
        <v>270</v>
      </c>
      <c r="D93" t="s">
        <v>271</v>
      </c>
      <c r="E93" t="s">
        <v>762</v>
      </c>
      <c r="F93" t="s">
        <v>736</v>
      </c>
      <c r="G93" t="s">
        <v>763</v>
      </c>
      <c r="H93" t="s">
        <v>12</v>
      </c>
      <c r="I93" t="s">
        <v>254</v>
      </c>
      <c r="J93" s="12">
        <f t="shared" si="1"/>
        <v>3</v>
      </c>
      <c r="K93" s="10" t="s">
        <v>754</v>
      </c>
      <c r="L93">
        <v>266</v>
      </c>
      <c r="M93" s="1">
        <v>1</v>
      </c>
      <c r="N93">
        <v>3</v>
      </c>
      <c r="O93" t="s">
        <v>755</v>
      </c>
      <c r="P93" s="10" t="s">
        <v>752</v>
      </c>
      <c r="Q93">
        <v>9</v>
      </c>
      <c r="R93">
        <v>0</v>
      </c>
      <c r="S93">
        <v>0</v>
      </c>
      <c r="U93" s="10" t="s">
        <v>738</v>
      </c>
      <c r="V93">
        <v>124</v>
      </c>
      <c r="W93">
        <v>0</v>
      </c>
      <c r="X93">
        <v>0</v>
      </c>
      <c r="Z93" s="10" t="s">
        <v>12</v>
      </c>
      <c r="AA93" t="s">
        <v>12</v>
      </c>
      <c r="AB93" t="s">
        <v>12</v>
      </c>
      <c r="AC93" t="s">
        <v>12</v>
      </c>
      <c r="AE93" s="10" t="s">
        <v>12</v>
      </c>
      <c r="AF93" t="s">
        <v>12</v>
      </c>
      <c r="AG93" t="s">
        <v>12</v>
      </c>
      <c r="AH93" t="s">
        <v>12</v>
      </c>
      <c r="AJ93" s="10" t="s">
        <v>12</v>
      </c>
      <c r="AK93" t="s">
        <v>12</v>
      </c>
      <c r="AL93" t="s">
        <v>12</v>
      </c>
      <c r="AM93" t="s">
        <v>12</v>
      </c>
    </row>
    <row r="94" spans="1:39" x14ac:dyDescent="0.25">
      <c r="A94" t="s">
        <v>269</v>
      </c>
      <c r="C94" t="s">
        <v>270</v>
      </c>
      <c r="D94" t="s">
        <v>271</v>
      </c>
      <c r="E94" t="s">
        <v>762</v>
      </c>
      <c r="F94" t="s">
        <v>764</v>
      </c>
      <c r="G94" t="s">
        <v>763</v>
      </c>
      <c r="H94" t="s">
        <v>12</v>
      </c>
      <c r="I94" t="s">
        <v>254</v>
      </c>
      <c r="J94" s="12">
        <f t="shared" si="1"/>
        <v>0</v>
      </c>
      <c r="K94" s="10" t="s">
        <v>753</v>
      </c>
      <c r="L94">
        <v>2</v>
      </c>
      <c r="M94" s="4">
        <v>1</v>
      </c>
      <c r="N94" s="7">
        <v>0</v>
      </c>
      <c r="O94" t="s">
        <v>668</v>
      </c>
      <c r="P94" s="10" t="s">
        <v>12</v>
      </c>
      <c r="Q94" t="s">
        <v>12</v>
      </c>
      <c r="R94" t="s">
        <v>12</v>
      </c>
      <c r="S94" t="s">
        <v>12</v>
      </c>
      <c r="U94" s="10" t="s">
        <v>12</v>
      </c>
      <c r="V94" t="s">
        <v>12</v>
      </c>
      <c r="W94" t="s">
        <v>12</v>
      </c>
      <c r="X94" t="s">
        <v>12</v>
      </c>
      <c r="Z94" s="10" t="s">
        <v>12</v>
      </c>
      <c r="AA94" t="s">
        <v>12</v>
      </c>
      <c r="AB94" t="s">
        <v>12</v>
      </c>
      <c r="AC94" t="s">
        <v>12</v>
      </c>
      <c r="AE94" s="10" t="s">
        <v>12</v>
      </c>
      <c r="AF94" t="s">
        <v>12</v>
      </c>
      <c r="AG94" t="s">
        <v>12</v>
      </c>
      <c r="AH94" t="s">
        <v>12</v>
      </c>
      <c r="AJ94" s="10" t="s">
        <v>12</v>
      </c>
      <c r="AK94" t="s">
        <v>12</v>
      </c>
      <c r="AL94" t="s">
        <v>12</v>
      </c>
      <c r="AM94" t="s">
        <v>12</v>
      </c>
    </row>
    <row r="95" spans="1:39" x14ac:dyDescent="0.25">
      <c r="A95" t="s">
        <v>146</v>
      </c>
      <c r="B95" t="s">
        <v>147</v>
      </c>
      <c r="C95" t="s">
        <v>272</v>
      </c>
      <c r="D95" t="s">
        <v>273</v>
      </c>
      <c r="E95" t="s">
        <v>765</v>
      </c>
      <c r="F95" t="s">
        <v>56</v>
      </c>
      <c r="I95">
        <v>1</v>
      </c>
      <c r="J95" s="12">
        <f t="shared" si="1"/>
        <v>0</v>
      </c>
      <c r="K95" s="10" t="s">
        <v>12</v>
      </c>
      <c r="L95" t="s">
        <v>12</v>
      </c>
      <c r="M95" s="2" t="s">
        <v>12</v>
      </c>
      <c r="N95" t="s">
        <v>12</v>
      </c>
      <c r="P95" s="10" t="s">
        <v>12</v>
      </c>
      <c r="Q95" t="s">
        <v>12</v>
      </c>
      <c r="R95" t="s">
        <v>12</v>
      </c>
      <c r="S95" t="s">
        <v>12</v>
      </c>
      <c r="U95" s="10" t="s">
        <v>12</v>
      </c>
      <c r="V95" t="s">
        <v>12</v>
      </c>
      <c r="W95" t="s">
        <v>12</v>
      </c>
      <c r="X95" t="s">
        <v>12</v>
      </c>
      <c r="Z95" s="10" t="s">
        <v>12</v>
      </c>
      <c r="AA95" t="s">
        <v>12</v>
      </c>
      <c r="AB95" t="s">
        <v>12</v>
      </c>
      <c r="AC95" t="s">
        <v>12</v>
      </c>
      <c r="AE95" s="10" t="s">
        <v>766</v>
      </c>
      <c r="AF95">
        <v>17</v>
      </c>
      <c r="AG95">
        <v>0</v>
      </c>
      <c r="AH95">
        <v>0</v>
      </c>
      <c r="AJ95" s="10" t="s">
        <v>767</v>
      </c>
      <c r="AK95">
        <v>62</v>
      </c>
      <c r="AL95">
        <v>0</v>
      </c>
      <c r="AM95">
        <v>0</v>
      </c>
    </row>
    <row r="96" spans="1:39" x14ac:dyDescent="0.25">
      <c r="A96" t="s">
        <v>274</v>
      </c>
      <c r="B96" t="s">
        <v>275</v>
      </c>
      <c r="C96" t="s">
        <v>276</v>
      </c>
      <c r="D96" t="s">
        <v>277</v>
      </c>
      <c r="E96" t="s">
        <v>768</v>
      </c>
      <c r="F96" t="s">
        <v>714</v>
      </c>
      <c r="I96" t="s">
        <v>234</v>
      </c>
      <c r="J96" s="12">
        <f t="shared" si="1"/>
        <v>2</v>
      </c>
      <c r="K96" s="10" t="s">
        <v>716</v>
      </c>
      <c r="L96">
        <v>2</v>
      </c>
      <c r="M96" s="3">
        <v>1</v>
      </c>
      <c r="N96">
        <v>2</v>
      </c>
      <c r="O96" t="s">
        <v>661</v>
      </c>
      <c r="P96" s="10" t="s">
        <v>12</v>
      </c>
      <c r="Q96" t="s">
        <v>12</v>
      </c>
      <c r="R96" t="s">
        <v>12</v>
      </c>
      <c r="S96" t="s">
        <v>12</v>
      </c>
      <c r="U96" s="10" t="s">
        <v>12</v>
      </c>
      <c r="V96" t="s">
        <v>12</v>
      </c>
      <c r="W96" t="s">
        <v>12</v>
      </c>
      <c r="X96" t="s">
        <v>12</v>
      </c>
      <c r="Z96" s="10" t="s">
        <v>12</v>
      </c>
      <c r="AA96" t="s">
        <v>12</v>
      </c>
      <c r="AB96" t="s">
        <v>12</v>
      </c>
      <c r="AC96" t="s">
        <v>12</v>
      </c>
      <c r="AE96" s="10" t="s">
        <v>12</v>
      </c>
      <c r="AF96" t="s">
        <v>12</v>
      </c>
      <c r="AG96" t="s">
        <v>12</v>
      </c>
      <c r="AH96" t="s">
        <v>12</v>
      </c>
      <c r="AJ96" s="10" t="s">
        <v>12</v>
      </c>
      <c r="AK96" t="s">
        <v>12</v>
      </c>
      <c r="AL96" t="s">
        <v>12</v>
      </c>
      <c r="AM96" t="s">
        <v>12</v>
      </c>
    </row>
    <row r="97" spans="1:39" x14ac:dyDescent="0.25">
      <c r="A97" t="s">
        <v>199</v>
      </c>
      <c r="C97" t="s">
        <v>278</v>
      </c>
      <c r="D97" t="s">
        <v>279</v>
      </c>
      <c r="E97" t="s">
        <v>769</v>
      </c>
      <c r="F97" t="s">
        <v>56</v>
      </c>
      <c r="I97">
        <v>1</v>
      </c>
      <c r="J97" s="12">
        <f t="shared" si="1"/>
        <v>0</v>
      </c>
      <c r="K97" s="10" t="s">
        <v>12</v>
      </c>
      <c r="L97" t="s">
        <v>12</v>
      </c>
      <c r="M97" s="2" t="s">
        <v>12</v>
      </c>
      <c r="N97" t="s">
        <v>12</v>
      </c>
      <c r="P97" s="10" t="s">
        <v>770</v>
      </c>
      <c r="Q97">
        <v>1</v>
      </c>
      <c r="R97">
        <v>0</v>
      </c>
      <c r="S97">
        <v>0</v>
      </c>
      <c r="U97" s="10" t="s">
        <v>12</v>
      </c>
      <c r="V97" t="s">
        <v>12</v>
      </c>
      <c r="W97" t="s">
        <v>12</v>
      </c>
      <c r="X97" t="s">
        <v>12</v>
      </c>
      <c r="Z97" s="10" t="s">
        <v>12</v>
      </c>
      <c r="AA97" t="s">
        <v>12</v>
      </c>
      <c r="AB97" t="s">
        <v>12</v>
      </c>
      <c r="AC97" t="s">
        <v>12</v>
      </c>
      <c r="AE97" s="10" t="s">
        <v>12</v>
      </c>
      <c r="AF97" t="s">
        <v>12</v>
      </c>
      <c r="AG97" t="s">
        <v>12</v>
      </c>
      <c r="AH97" t="s">
        <v>12</v>
      </c>
      <c r="AJ97" s="10" t="s">
        <v>12</v>
      </c>
      <c r="AK97" t="s">
        <v>12</v>
      </c>
      <c r="AL97" t="s">
        <v>12</v>
      </c>
      <c r="AM97" t="s">
        <v>12</v>
      </c>
    </row>
    <row r="98" spans="1:39" x14ac:dyDescent="0.25">
      <c r="A98" t="s">
        <v>269</v>
      </c>
      <c r="C98" t="s">
        <v>280</v>
      </c>
      <c r="D98" t="s">
        <v>281</v>
      </c>
      <c r="E98" t="s">
        <v>771</v>
      </c>
      <c r="F98" t="s">
        <v>74</v>
      </c>
      <c r="G98" t="s">
        <v>772</v>
      </c>
      <c r="H98" t="s">
        <v>773</v>
      </c>
      <c r="I98">
        <v>1</v>
      </c>
      <c r="J98" s="12">
        <f t="shared" si="1"/>
        <v>3</v>
      </c>
      <c r="K98" s="10" t="s">
        <v>774</v>
      </c>
      <c r="L98">
        <v>3</v>
      </c>
      <c r="M98" s="3">
        <v>1</v>
      </c>
      <c r="N98">
        <v>3</v>
      </c>
      <c r="O98" t="s">
        <v>661</v>
      </c>
      <c r="P98" s="10" t="s">
        <v>12</v>
      </c>
      <c r="Q98" t="s">
        <v>12</v>
      </c>
      <c r="R98" t="s">
        <v>12</v>
      </c>
      <c r="S98" t="s">
        <v>12</v>
      </c>
      <c r="U98" s="10" t="s">
        <v>12</v>
      </c>
      <c r="V98" t="s">
        <v>12</v>
      </c>
      <c r="W98" t="s">
        <v>12</v>
      </c>
      <c r="X98" t="s">
        <v>12</v>
      </c>
      <c r="Z98" s="10" t="s">
        <v>12</v>
      </c>
      <c r="AA98" t="s">
        <v>12</v>
      </c>
      <c r="AB98" t="s">
        <v>12</v>
      </c>
      <c r="AC98" t="s">
        <v>12</v>
      </c>
      <c r="AE98" s="10" t="s">
        <v>12</v>
      </c>
      <c r="AF98" t="s">
        <v>12</v>
      </c>
      <c r="AG98" t="s">
        <v>12</v>
      </c>
      <c r="AH98" t="s">
        <v>12</v>
      </c>
      <c r="AJ98" s="10" t="s">
        <v>12</v>
      </c>
      <c r="AK98" t="s">
        <v>12</v>
      </c>
      <c r="AL98" t="s">
        <v>12</v>
      </c>
      <c r="AM98" t="s">
        <v>12</v>
      </c>
    </row>
    <row r="99" spans="1:39" x14ac:dyDescent="0.25">
      <c r="A99" t="s">
        <v>282</v>
      </c>
      <c r="C99" t="s">
        <v>80</v>
      </c>
      <c r="D99" t="s">
        <v>283</v>
      </c>
      <c r="E99" t="s">
        <v>775</v>
      </c>
      <c r="F99" t="s">
        <v>79</v>
      </c>
      <c r="I99">
        <v>1</v>
      </c>
      <c r="J99" s="12">
        <f t="shared" si="1"/>
        <v>0</v>
      </c>
      <c r="K99" s="10" t="s">
        <v>611</v>
      </c>
      <c r="L99">
        <v>26</v>
      </c>
      <c r="M99" s="1">
        <v>0</v>
      </c>
      <c r="N99">
        <v>0</v>
      </c>
      <c r="P99" s="10" t="s">
        <v>12</v>
      </c>
      <c r="Q99" t="s">
        <v>12</v>
      </c>
      <c r="R99" t="s">
        <v>12</v>
      </c>
      <c r="S99" t="s">
        <v>12</v>
      </c>
      <c r="U99" s="10" t="s">
        <v>12</v>
      </c>
      <c r="V99" t="s">
        <v>12</v>
      </c>
      <c r="W99" t="s">
        <v>12</v>
      </c>
      <c r="X99" t="s">
        <v>12</v>
      </c>
      <c r="Z99" s="10" t="s">
        <v>12</v>
      </c>
      <c r="AA99" t="s">
        <v>12</v>
      </c>
      <c r="AB99" t="s">
        <v>12</v>
      </c>
      <c r="AC99" t="s">
        <v>12</v>
      </c>
      <c r="AE99" s="10" t="s">
        <v>12</v>
      </c>
      <c r="AF99" t="s">
        <v>12</v>
      </c>
      <c r="AG99" t="s">
        <v>12</v>
      </c>
      <c r="AH99" t="s">
        <v>12</v>
      </c>
      <c r="AJ99" s="10" t="s">
        <v>12</v>
      </c>
      <c r="AK99" t="s">
        <v>12</v>
      </c>
      <c r="AL99" t="s">
        <v>12</v>
      </c>
      <c r="AM99" t="s">
        <v>12</v>
      </c>
    </row>
    <row r="100" spans="1:39" x14ac:dyDescent="0.25">
      <c r="A100" t="s">
        <v>284</v>
      </c>
      <c r="C100" t="s">
        <v>285</v>
      </c>
      <c r="D100" t="s">
        <v>286</v>
      </c>
      <c r="E100" t="s">
        <v>776</v>
      </c>
      <c r="F100" t="s">
        <v>68</v>
      </c>
      <c r="I100">
        <v>1</v>
      </c>
      <c r="J100" s="12">
        <f t="shared" si="1"/>
        <v>0</v>
      </c>
      <c r="K100" s="10" t="s">
        <v>12</v>
      </c>
      <c r="L100" t="s">
        <v>12</v>
      </c>
      <c r="M100" s="2" t="s">
        <v>12</v>
      </c>
      <c r="N100" t="s">
        <v>12</v>
      </c>
      <c r="P100" s="10" t="s">
        <v>12</v>
      </c>
      <c r="Q100" t="s">
        <v>12</v>
      </c>
      <c r="R100" t="s">
        <v>12</v>
      </c>
      <c r="S100" t="s">
        <v>12</v>
      </c>
      <c r="U100" s="10" t="s">
        <v>12</v>
      </c>
      <c r="V100" t="s">
        <v>12</v>
      </c>
      <c r="W100" t="s">
        <v>12</v>
      </c>
      <c r="X100" t="s">
        <v>12</v>
      </c>
      <c r="Z100" s="10" t="s">
        <v>12</v>
      </c>
      <c r="AA100" t="s">
        <v>12</v>
      </c>
      <c r="AB100" t="s">
        <v>12</v>
      </c>
      <c r="AC100" t="s">
        <v>12</v>
      </c>
      <c r="AE100" s="10" t="s">
        <v>777</v>
      </c>
      <c r="AF100">
        <v>4</v>
      </c>
      <c r="AG100">
        <v>0</v>
      </c>
      <c r="AH100">
        <v>0</v>
      </c>
      <c r="AJ100" s="10" t="s">
        <v>12</v>
      </c>
      <c r="AK100" t="s">
        <v>12</v>
      </c>
      <c r="AL100" t="s">
        <v>12</v>
      </c>
      <c r="AM100" t="s">
        <v>12</v>
      </c>
    </row>
    <row r="101" spans="1:39" x14ac:dyDescent="0.25">
      <c r="A101" t="s">
        <v>287</v>
      </c>
      <c r="C101" t="s">
        <v>288</v>
      </c>
      <c r="D101" t="s">
        <v>289</v>
      </c>
      <c r="E101" t="s">
        <v>778</v>
      </c>
      <c r="F101" t="s">
        <v>74</v>
      </c>
      <c r="I101">
        <v>1</v>
      </c>
      <c r="J101" s="12">
        <f t="shared" si="1"/>
        <v>0</v>
      </c>
      <c r="K101" s="10" t="s">
        <v>12</v>
      </c>
      <c r="L101" t="s">
        <v>12</v>
      </c>
      <c r="M101" s="2" t="s">
        <v>12</v>
      </c>
      <c r="N101" t="s">
        <v>12</v>
      </c>
      <c r="P101" s="10" t="s">
        <v>12</v>
      </c>
      <c r="Q101" t="s">
        <v>12</v>
      </c>
      <c r="R101" t="s">
        <v>12</v>
      </c>
      <c r="S101" t="s">
        <v>12</v>
      </c>
      <c r="U101" s="10" t="s">
        <v>12</v>
      </c>
      <c r="V101" t="s">
        <v>12</v>
      </c>
      <c r="W101" t="s">
        <v>12</v>
      </c>
      <c r="X101" t="s">
        <v>12</v>
      </c>
      <c r="Z101" s="10" t="s">
        <v>779</v>
      </c>
      <c r="AA101">
        <v>8</v>
      </c>
      <c r="AB101">
        <v>0</v>
      </c>
      <c r="AC101">
        <v>0</v>
      </c>
      <c r="AE101" s="10" t="s">
        <v>12</v>
      </c>
      <c r="AF101" t="s">
        <v>12</v>
      </c>
      <c r="AG101" t="s">
        <v>12</v>
      </c>
      <c r="AH101" t="s">
        <v>12</v>
      </c>
      <c r="AJ101" s="10" t="s">
        <v>12</v>
      </c>
      <c r="AK101" t="s">
        <v>12</v>
      </c>
      <c r="AL101" t="s">
        <v>12</v>
      </c>
      <c r="AM101" t="s">
        <v>12</v>
      </c>
    </row>
    <row r="102" spans="1:39" x14ac:dyDescent="0.25">
      <c r="A102" t="s">
        <v>290</v>
      </c>
      <c r="C102" t="s">
        <v>291</v>
      </c>
      <c r="D102" t="s">
        <v>292</v>
      </c>
      <c r="E102" t="s">
        <v>785</v>
      </c>
      <c r="F102" t="s">
        <v>31</v>
      </c>
      <c r="I102">
        <v>1</v>
      </c>
      <c r="J102" s="12">
        <f t="shared" si="1"/>
        <v>0</v>
      </c>
      <c r="K102" s="10" t="s">
        <v>12</v>
      </c>
      <c r="L102" t="s">
        <v>12</v>
      </c>
      <c r="M102" s="2" t="s">
        <v>12</v>
      </c>
      <c r="N102" t="s">
        <v>12</v>
      </c>
      <c r="P102" s="10" t="s">
        <v>12</v>
      </c>
      <c r="Q102" t="s">
        <v>12</v>
      </c>
      <c r="R102" t="s">
        <v>12</v>
      </c>
      <c r="S102" t="s">
        <v>12</v>
      </c>
      <c r="U102" s="10" t="s">
        <v>12</v>
      </c>
      <c r="V102" t="s">
        <v>12</v>
      </c>
      <c r="W102" t="s">
        <v>12</v>
      </c>
      <c r="X102" t="s">
        <v>12</v>
      </c>
      <c r="Z102" s="10" t="s">
        <v>12</v>
      </c>
      <c r="AA102" t="s">
        <v>12</v>
      </c>
      <c r="AB102" t="s">
        <v>12</v>
      </c>
      <c r="AC102" t="s">
        <v>12</v>
      </c>
      <c r="AE102" s="10" t="s">
        <v>12</v>
      </c>
      <c r="AF102" t="s">
        <v>12</v>
      </c>
      <c r="AG102" t="s">
        <v>12</v>
      </c>
      <c r="AH102" t="s">
        <v>12</v>
      </c>
      <c r="AJ102" s="10" t="s">
        <v>786</v>
      </c>
      <c r="AK102">
        <v>59</v>
      </c>
      <c r="AL102">
        <v>0</v>
      </c>
      <c r="AM102">
        <v>0</v>
      </c>
    </row>
    <row r="103" spans="1:39" x14ac:dyDescent="0.25">
      <c r="C103" t="s">
        <v>293</v>
      </c>
      <c r="D103" t="s">
        <v>293</v>
      </c>
      <c r="E103" t="s">
        <v>787</v>
      </c>
      <c r="F103" t="s">
        <v>764</v>
      </c>
      <c r="I103">
        <v>1</v>
      </c>
      <c r="J103" s="12">
        <f t="shared" si="1"/>
        <v>0</v>
      </c>
      <c r="K103" s="10" t="s">
        <v>12</v>
      </c>
      <c r="L103" t="s">
        <v>12</v>
      </c>
      <c r="M103" s="2" t="s">
        <v>12</v>
      </c>
      <c r="N103" t="s">
        <v>12</v>
      </c>
      <c r="P103" s="10" t="s">
        <v>789</v>
      </c>
      <c r="Q103">
        <v>204</v>
      </c>
      <c r="R103">
        <v>0</v>
      </c>
      <c r="S103">
        <v>0</v>
      </c>
      <c r="U103" s="10" t="s">
        <v>12</v>
      </c>
      <c r="V103" t="s">
        <v>12</v>
      </c>
      <c r="W103" t="s">
        <v>12</v>
      </c>
      <c r="X103" t="s">
        <v>12</v>
      </c>
      <c r="Z103" s="10" t="s">
        <v>788</v>
      </c>
      <c r="AA103">
        <v>236</v>
      </c>
      <c r="AB103">
        <v>0</v>
      </c>
      <c r="AC103">
        <v>0</v>
      </c>
      <c r="AE103" s="10" t="s">
        <v>12</v>
      </c>
      <c r="AF103" t="s">
        <v>12</v>
      </c>
      <c r="AG103" t="s">
        <v>12</v>
      </c>
      <c r="AH103" t="s">
        <v>12</v>
      </c>
      <c r="AJ103" s="10" t="s">
        <v>12</v>
      </c>
      <c r="AK103" t="s">
        <v>12</v>
      </c>
      <c r="AL103" t="s">
        <v>12</v>
      </c>
      <c r="AM103" t="s">
        <v>12</v>
      </c>
    </row>
    <row r="104" spans="1:39" x14ac:dyDescent="0.25">
      <c r="A104" t="s">
        <v>294</v>
      </c>
      <c r="C104" t="s">
        <v>295</v>
      </c>
      <c r="D104" t="s">
        <v>296</v>
      </c>
      <c r="E104" t="s">
        <v>790</v>
      </c>
      <c r="F104" t="s">
        <v>62</v>
      </c>
      <c r="I104" t="s">
        <v>63</v>
      </c>
      <c r="J104" s="12">
        <f t="shared" si="1"/>
        <v>2</v>
      </c>
      <c r="K104" s="10" t="s">
        <v>606</v>
      </c>
      <c r="L104">
        <v>12</v>
      </c>
      <c r="M104" s="3">
        <v>1</v>
      </c>
      <c r="N104">
        <v>2</v>
      </c>
      <c r="O104" t="s">
        <v>662</v>
      </c>
      <c r="P104" s="10" t="s">
        <v>12</v>
      </c>
      <c r="Q104" t="s">
        <v>12</v>
      </c>
      <c r="R104" t="s">
        <v>12</v>
      </c>
      <c r="S104" t="s">
        <v>12</v>
      </c>
      <c r="U104" s="10" t="s">
        <v>12</v>
      </c>
      <c r="V104" t="s">
        <v>12</v>
      </c>
      <c r="W104" t="s">
        <v>12</v>
      </c>
      <c r="X104" t="s">
        <v>12</v>
      </c>
      <c r="Z104" s="10" t="s">
        <v>12</v>
      </c>
      <c r="AA104" t="s">
        <v>12</v>
      </c>
      <c r="AB104" t="s">
        <v>12</v>
      </c>
      <c r="AC104" t="s">
        <v>12</v>
      </c>
      <c r="AE104" s="10" t="s">
        <v>12</v>
      </c>
      <c r="AF104" t="s">
        <v>12</v>
      </c>
      <c r="AG104" t="s">
        <v>12</v>
      </c>
      <c r="AH104" t="s">
        <v>12</v>
      </c>
      <c r="AJ104" s="10" t="s">
        <v>12</v>
      </c>
      <c r="AK104" t="s">
        <v>12</v>
      </c>
      <c r="AL104" t="s">
        <v>12</v>
      </c>
      <c r="AM104" t="s">
        <v>12</v>
      </c>
    </row>
    <row r="105" spans="1:39" x14ac:dyDescent="0.25">
      <c r="A105" t="s">
        <v>297</v>
      </c>
      <c r="C105" t="s">
        <v>298</v>
      </c>
      <c r="D105" t="s">
        <v>299</v>
      </c>
      <c r="E105" t="s">
        <v>791</v>
      </c>
      <c r="F105" t="s">
        <v>49</v>
      </c>
      <c r="G105" t="s">
        <v>814</v>
      </c>
      <c r="H105" t="s">
        <v>12</v>
      </c>
      <c r="I105">
        <v>1</v>
      </c>
      <c r="J105" s="12">
        <f t="shared" si="1"/>
        <v>3</v>
      </c>
      <c r="K105" s="10" t="s">
        <v>792</v>
      </c>
      <c r="L105">
        <v>10</v>
      </c>
      <c r="M105" s="1">
        <v>1</v>
      </c>
      <c r="N105">
        <v>3</v>
      </c>
      <c r="O105" t="s">
        <v>661</v>
      </c>
      <c r="P105" s="10" t="s">
        <v>12</v>
      </c>
      <c r="Q105" t="s">
        <v>12</v>
      </c>
      <c r="R105" t="s">
        <v>12</v>
      </c>
      <c r="S105" t="s">
        <v>12</v>
      </c>
      <c r="U105" s="10" t="s">
        <v>12</v>
      </c>
      <c r="V105" t="s">
        <v>12</v>
      </c>
      <c r="W105" t="s">
        <v>12</v>
      </c>
      <c r="X105" t="s">
        <v>12</v>
      </c>
      <c r="Z105" s="10" t="s">
        <v>12</v>
      </c>
      <c r="AA105" t="s">
        <v>12</v>
      </c>
      <c r="AB105" t="s">
        <v>12</v>
      </c>
      <c r="AC105" t="s">
        <v>12</v>
      </c>
      <c r="AE105" s="10" t="s">
        <v>12</v>
      </c>
      <c r="AF105" t="s">
        <v>12</v>
      </c>
      <c r="AG105" t="s">
        <v>12</v>
      </c>
      <c r="AH105" t="s">
        <v>12</v>
      </c>
      <c r="AJ105" s="10" t="s">
        <v>12</v>
      </c>
      <c r="AK105" t="s">
        <v>12</v>
      </c>
      <c r="AL105" t="s">
        <v>12</v>
      </c>
      <c r="AM105" t="s">
        <v>12</v>
      </c>
    </row>
    <row r="106" spans="1:39" x14ac:dyDescent="0.25">
      <c r="A106" t="s">
        <v>297</v>
      </c>
      <c r="C106" t="s">
        <v>298</v>
      </c>
      <c r="D106" t="s">
        <v>299</v>
      </c>
      <c r="E106" t="s">
        <v>791</v>
      </c>
      <c r="F106" t="s">
        <v>49</v>
      </c>
      <c r="G106" t="s">
        <v>814</v>
      </c>
      <c r="H106" t="s">
        <v>12</v>
      </c>
      <c r="I106" t="s">
        <v>47</v>
      </c>
      <c r="J106" s="12">
        <f t="shared" si="1"/>
        <v>1</v>
      </c>
      <c r="K106" s="10" t="s">
        <v>750</v>
      </c>
      <c r="L106">
        <v>172</v>
      </c>
      <c r="M106">
        <v>1</v>
      </c>
      <c r="N106" s="7">
        <v>1</v>
      </c>
      <c r="O106" t="s">
        <v>667</v>
      </c>
      <c r="P106" s="10" t="s">
        <v>751</v>
      </c>
      <c r="Q106">
        <v>51</v>
      </c>
      <c r="R106">
        <v>0</v>
      </c>
      <c r="S106">
        <v>0</v>
      </c>
      <c r="U106" s="10" t="s">
        <v>12</v>
      </c>
      <c r="V106" t="s">
        <v>12</v>
      </c>
      <c r="W106" t="s">
        <v>12</v>
      </c>
      <c r="X106" t="s">
        <v>12</v>
      </c>
      <c r="Z106" s="10" t="s">
        <v>12</v>
      </c>
      <c r="AA106" t="s">
        <v>12</v>
      </c>
      <c r="AB106" t="s">
        <v>12</v>
      </c>
      <c r="AC106" t="s">
        <v>12</v>
      </c>
      <c r="AE106" s="10" t="s">
        <v>12</v>
      </c>
      <c r="AF106" t="s">
        <v>12</v>
      </c>
      <c r="AG106" t="s">
        <v>12</v>
      </c>
      <c r="AH106" t="s">
        <v>12</v>
      </c>
      <c r="AJ106" s="10" t="s">
        <v>12</v>
      </c>
      <c r="AK106" t="s">
        <v>12</v>
      </c>
      <c r="AL106" t="s">
        <v>12</v>
      </c>
      <c r="AM106" t="s">
        <v>12</v>
      </c>
    </row>
    <row r="107" spans="1:39" s="4" customFormat="1" x14ac:dyDescent="0.25">
      <c r="A107" s="2"/>
      <c r="B107" s="2"/>
      <c r="C107" s="2" t="s">
        <v>300</v>
      </c>
      <c r="D107" s="2" t="s">
        <v>300</v>
      </c>
      <c r="E107" s="2" t="s">
        <v>12</v>
      </c>
      <c r="F107" s="2" t="s">
        <v>56</v>
      </c>
      <c r="G107" s="2"/>
      <c r="H107" s="2"/>
      <c r="I107" s="2" t="s">
        <v>794</v>
      </c>
      <c r="J107" s="13">
        <f t="shared" si="1"/>
        <v>0</v>
      </c>
      <c r="K107" s="11" t="s">
        <v>12</v>
      </c>
      <c r="L107" s="2" t="s">
        <v>12</v>
      </c>
      <c r="M107" s="2" t="s">
        <v>12</v>
      </c>
      <c r="N107" s="2" t="s">
        <v>12</v>
      </c>
      <c r="O107" s="2"/>
      <c r="P107" s="11" t="s">
        <v>12</v>
      </c>
      <c r="Q107" s="2" t="s">
        <v>12</v>
      </c>
      <c r="R107" s="2" t="s">
        <v>12</v>
      </c>
      <c r="S107" s="2" t="s">
        <v>12</v>
      </c>
      <c r="T107" s="2"/>
      <c r="U107" s="11" t="s">
        <v>12</v>
      </c>
      <c r="V107" s="2" t="s">
        <v>12</v>
      </c>
      <c r="W107" s="2" t="s">
        <v>12</v>
      </c>
      <c r="X107" s="2" t="s">
        <v>12</v>
      </c>
      <c r="Y107" s="2"/>
      <c r="Z107" s="11" t="s">
        <v>12</v>
      </c>
      <c r="AA107" s="2" t="s">
        <v>12</v>
      </c>
      <c r="AB107" s="2" t="s">
        <v>12</v>
      </c>
      <c r="AC107" s="2" t="s">
        <v>12</v>
      </c>
      <c r="AD107" s="2"/>
      <c r="AE107" s="11" t="s">
        <v>795</v>
      </c>
      <c r="AF107" s="2">
        <v>20</v>
      </c>
      <c r="AG107" s="2">
        <v>0</v>
      </c>
      <c r="AH107" s="2">
        <v>0</v>
      </c>
      <c r="AI107" s="2" t="s">
        <v>796</v>
      </c>
      <c r="AJ107" s="11" t="s">
        <v>12</v>
      </c>
      <c r="AK107" s="2" t="s">
        <v>12</v>
      </c>
      <c r="AL107" s="2" t="s">
        <v>12</v>
      </c>
      <c r="AM107" s="2" t="s">
        <v>12</v>
      </c>
    </row>
    <row r="108" spans="1:39" x14ac:dyDescent="0.25">
      <c r="A108" t="s">
        <v>301</v>
      </c>
      <c r="C108" t="s">
        <v>302</v>
      </c>
      <c r="D108" t="s">
        <v>303</v>
      </c>
      <c r="E108" t="s">
        <v>797</v>
      </c>
      <c r="F108" t="s">
        <v>24</v>
      </c>
      <c r="I108" t="s">
        <v>25</v>
      </c>
      <c r="J108" s="12">
        <f t="shared" si="1"/>
        <v>0</v>
      </c>
      <c r="K108" s="10" t="s">
        <v>12</v>
      </c>
      <c r="L108" t="s">
        <v>12</v>
      </c>
      <c r="M108" s="2" t="s">
        <v>12</v>
      </c>
      <c r="N108" t="s">
        <v>12</v>
      </c>
      <c r="P108" s="10" t="s">
        <v>12</v>
      </c>
      <c r="Q108" t="s">
        <v>12</v>
      </c>
      <c r="R108" t="s">
        <v>12</v>
      </c>
      <c r="S108" t="s">
        <v>12</v>
      </c>
      <c r="U108" s="10" t="s">
        <v>12</v>
      </c>
      <c r="V108" t="s">
        <v>12</v>
      </c>
      <c r="W108" t="s">
        <v>12</v>
      </c>
      <c r="X108" t="s">
        <v>12</v>
      </c>
      <c r="Z108" s="10" t="s">
        <v>12</v>
      </c>
      <c r="AA108" t="s">
        <v>12</v>
      </c>
      <c r="AB108" t="s">
        <v>12</v>
      </c>
      <c r="AC108" t="s">
        <v>12</v>
      </c>
      <c r="AE108" s="10" t="s">
        <v>627</v>
      </c>
      <c r="AF108">
        <v>1211</v>
      </c>
      <c r="AG108">
        <v>0</v>
      </c>
      <c r="AH108">
        <v>0</v>
      </c>
      <c r="AJ108" s="10" t="s">
        <v>12</v>
      </c>
      <c r="AK108" t="s">
        <v>12</v>
      </c>
      <c r="AL108" t="s">
        <v>12</v>
      </c>
      <c r="AM108" t="s">
        <v>12</v>
      </c>
    </row>
    <row r="109" spans="1:39" x14ac:dyDescent="0.25">
      <c r="A109" t="s">
        <v>59</v>
      </c>
      <c r="B109" t="s">
        <v>800</v>
      </c>
      <c r="C109" t="s">
        <v>304</v>
      </c>
      <c r="D109" t="s">
        <v>803</v>
      </c>
      <c r="E109" t="s">
        <v>798</v>
      </c>
      <c r="F109" t="s">
        <v>68</v>
      </c>
      <c r="I109" t="s">
        <v>67</v>
      </c>
      <c r="J109" s="12">
        <f t="shared" si="1"/>
        <v>2</v>
      </c>
      <c r="K109" s="10" t="s">
        <v>607</v>
      </c>
      <c r="L109">
        <v>4</v>
      </c>
      <c r="M109" s="3">
        <v>1</v>
      </c>
      <c r="N109">
        <v>2</v>
      </c>
      <c r="O109" t="s">
        <v>662</v>
      </c>
      <c r="P109" s="10" t="s">
        <v>12</v>
      </c>
      <c r="Q109" t="s">
        <v>12</v>
      </c>
      <c r="R109" t="s">
        <v>12</v>
      </c>
      <c r="S109" t="s">
        <v>12</v>
      </c>
      <c r="U109" s="10" t="s">
        <v>12</v>
      </c>
      <c r="V109" t="s">
        <v>12</v>
      </c>
      <c r="W109" t="s">
        <v>12</v>
      </c>
      <c r="X109" t="s">
        <v>12</v>
      </c>
      <c r="Z109" s="10" t="s">
        <v>12</v>
      </c>
      <c r="AA109" t="s">
        <v>12</v>
      </c>
      <c r="AB109" t="s">
        <v>12</v>
      </c>
      <c r="AC109" t="s">
        <v>12</v>
      </c>
      <c r="AE109" s="10" t="s">
        <v>12</v>
      </c>
      <c r="AF109" t="s">
        <v>12</v>
      </c>
      <c r="AG109" t="s">
        <v>12</v>
      </c>
      <c r="AH109" t="s">
        <v>12</v>
      </c>
      <c r="AJ109" s="10" t="s">
        <v>12</v>
      </c>
      <c r="AK109" t="s">
        <v>12</v>
      </c>
      <c r="AL109" t="s">
        <v>12</v>
      </c>
      <c r="AM109" t="s">
        <v>12</v>
      </c>
    </row>
    <row r="110" spans="1:39" x14ac:dyDescent="0.25">
      <c r="A110" t="s">
        <v>59</v>
      </c>
      <c r="B110" t="s">
        <v>800</v>
      </c>
      <c r="C110" t="s">
        <v>304</v>
      </c>
      <c r="D110" t="s">
        <v>803</v>
      </c>
      <c r="E110" t="s">
        <v>798</v>
      </c>
      <c r="F110" t="s">
        <v>68</v>
      </c>
      <c r="I110">
        <v>1</v>
      </c>
      <c r="J110" s="12">
        <f t="shared" si="1"/>
        <v>0</v>
      </c>
      <c r="K110" s="10" t="s">
        <v>12</v>
      </c>
      <c r="L110" t="s">
        <v>12</v>
      </c>
      <c r="M110" s="2" t="s">
        <v>12</v>
      </c>
      <c r="N110" t="s">
        <v>12</v>
      </c>
      <c r="P110" s="10" t="s">
        <v>12</v>
      </c>
      <c r="Q110" t="s">
        <v>12</v>
      </c>
      <c r="R110" t="s">
        <v>12</v>
      </c>
      <c r="S110" t="s">
        <v>12</v>
      </c>
      <c r="U110" s="10" t="s">
        <v>12</v>
      </c>
      <c r="V110" t="s">
        <v>12</v>
      </c>
      <c r="W110" t="s">
        <v>12</v>
      </c>
      <c r="X110" t="s">
        <v>12</v>
      </c>
      <c r="Z110" s="10" t="s">
        <v>12</v>
      </c>
      <c r="AA110" t="s">
        <v>12</v>
      </c>
      <c r="AB110" t="s">
        <v>12</v>
      </c>
      <c r="AC110" t="s">
        <v>12</v>
      </c>
      <c r="AE110" s="10" t="s">
        <v>12</v>
      </c>
      <c r="AF110" t="s">
        <v>12</v>
      </c>
      <c r="AG110" t="s">
        <v>12</v>
      </c>
      <c r="AH110" t="s">
        <v>12</v>
      </c>
      <c r="AJ110" s="10" t="s">
        <v>799</v>
      </c>
      <c r="AK110">
        <v>1</v>
      </c>
      <c r="AL110">
        <v>0</v>
      </c>
      <c r="AM110">
        <v>0</v>
      </c>
    </row>
    <row r="111" spans="1:39" x14ac:dyDescent="0.25">
      <c r="A111" t="s">
        <v>59</v>
      </c>
      <c r="B111" t="s">
        <v>800</v>
      </c>
      <c r="C111" t="s">
        <v>304</v>
      </c>
      <c r="D111" t="s">
        <v>803</v>
      </c>
      <c r="E111" t="s">
        <v>798</v>
      </c>
      <c r="F111" t="s">
        <v>68</v>
      </c>
      <c r="I111" t="s">
        <v>286</v>
      </c>
      <c r="J111" s="12">
        <f t="shared" si="1"/>
        <v>0</v>
      </c>
      <c r="K111" s="10" t="s">
        <v>12</v>
      </c>
      <c r="L111" t="s">
        <v>12</v>
      </c>
      <c r="M111" s="2" t="s">
        <v>12</v>
      </c>
      <c r="N111" t="s">
        <v>12</v>
      </c>
      <c r="P111" s="10" t="s">
        <v>12</v>
      </c>
      <c r="Q111" t="s">
        <v>12</v>
      </c>
      <c r="R111" t="s">
        <v>12</v>
      </c>
      <c r="S111" t="s">
        <v>12</v>
      </c>
      <c r="U111" s="10" t="s">
        <v>12</v>
      </c>
      <c r="V111" t="s">
        <v>12</v>
      </c>
      <c r="W111" t="s">
        <v>12</v>
      </c>
      <c r="X111" t="s">
        <v>12</v>
      </c>
      <c r="Z111" s="10" t="s">
        <v>12</v>
      </c>
      <c r="AA111" t="s">
        <v>12</v>
      </c>
      <c r="AB111" t="s">
        <v>12</v>
      </c>
      <c r="AC111" t="s">
        <v>12</v>
      </c>
      <c r="AE111" s="10" t="s">
        <v>777</v>
      </c>
      <c r="AF111">
        <v>4</v>
      </c>
      <c r="AG111">
        <v>0</v>
      </c>
      <c r="AH111">
        <v>0</v>
      </c>
      <c r="AJ111" s="10" t="s">
        <v>12</v>
      </c>
      <c r="AK111" t="s">
        <v>12</v>
      </c>
      <c r="AL111" t="s">
        <v>12</v>
      </c>
      <c r="AM111" t="s">
        <v>12</v>
      </c>
    </row>
    <row r="112" spans="1:39" x14ac:dyDescent="0.25">
      <c r="A112" t="s">
        <v>305</v>
      </c>
      <c r="B112" t="s">
        <v>306</v>
      </c>
      <c r="C112" t="s">
        <v>307</v>
      </c>
      <c r="D112" t="s">
        <v>308</v>
      </c>
      <c r="E112" t="s">
        <v>804</v>
      </c>
      <c r="F112" t="s">
        <v>68</v>
      </c>
      <c r="I112" t="s">
        <v>528</v>
      </c>
      <c r="J112" s="12">
        <f t="shared" si="1"/>
        <v>0</v>
      </c>
      <c r="K112" s="10" t="s">
        <v>12</v>
      </c>
      <c r="L112" t="s">
        <v>12</v>
      </c>
      <c r="M112" s="2" t="s">
        <v>12</v>
      </c>
      <c r="N112" t="s">
        <v>12</v>
      </c>
      <c r="P112" s="10" t="s">
        <v>12</v>
      </c>
      <c r="Q112" t="s">
        <v>12</v>
      </c>
      <c r="R112" t="s">
        <v>12</v>
      </c>
      <c r="S112" t="s">
        <v>12</v>
      </c>
      <c r="U112" s="10" t="s">
        <v>12</v>
      </c>
      <c r="V112" t="s">
        <v>12</v>
      </c>
      <c r="W112" t="s">
        <v>12</v>
      </c>
      <c r="X112" t="s">
        <v>12</v>
      </c>
      <c r="Z112" s="10" t="s">
        <v>645</v>
      </c>
      <c r="AA112">
        <v>10</v>
      </c>
      <c r="AB112">
        <v>0</v>
      </c>
      <c r="AC112">
        <v>0</v>
      </c>
      <c r="AE112" s="10" t="s">
        <v>12</v>
      </c>
      <c r="AF112" t="s">
        <v>12</v>
      </c>
      <c r="AG112" t="s">
        <v>12</v>
      </c>
      <c r="AH112" t="s">
        <v>12</v>
      </c>
      <c r="AJ112" s="10" t="s">
        <v>12</v>
      </c>
      <c r="AK112" t="s">
        <v>12</v>
      </c>
      <c r="AL112" t="s">
        <v>12</v>
      </c>
      <c r="AM112" t="s">
        <v>12</v>
      </c>
    </row>
    <row r="113" spans="1:39" x14ac:dyDescent="0.25">
      <c r="A113" t="s">
        <v>309</v>
      </c>
      <c r="B113" t="s">
        <v>801</v>
      </c>
      <c r="C113" t="s">
        <v>310</v>
      </c>
      <c r="D113" t="s">
        <v>807</v>
      </c>
      <c r="E113" t="s">
        <v>806</v>
      </c>
      <c r="F113" t="s">
        <v>31</v>
      </c>
      <c r="G113" t="s">
        <v>813</v>
      </c>
      <c r="H113" t="s">
        <v>12</v>
      </c>
      <c r="I113">
        <v>1</v>
      </c>
      <c r="J113" s="12">
        <f t="shared" si="1"/>
        <v>3</v>
      </c>
      <c r="K113" s="10" t="s">
        <v>601</v>
      </c>
      <c r="L113">
        <v>37</v>
      </c>
      <c r="M113" s="3">
        <v>1</v>
      </c>
      <c r="N113">
        <v>3</v>
      </c>
      <c r="O113" t="s">
        <v>661</v>
      </c>
      <c r="P113" s="10" t="s">
        <v>808</v>
      </c>
      <c r="Q113" s="16">
        <v>110</v>
      </c>
      <c r="R113" s="16">
        <v>0</v>
      </c>
      <c r="S113" s="16">
        <v>0</v>
      </c>
      <c r="U113" s="10" t="s">
        <v>809</v>
      </c>
      <c r="V113" s="16">
        <v>110</v>
      </c>
      <c r="W113" s="16">
        <v>0</v>
      </c>
      <c r="X113" s="16">
        <v>0</v>
      </c>
      <c r="Z113" s="10" t="s">
        <v>12</v>
      </c>
      <c r="AA113" t="s">
        <v>12</v>
      </c>
      <c r="AB113" t="s">
        <v>12</v>
      </c>
      <c r="AC113" t="s">
        <v>12</v>
      </c>
      <c r="AE113" s="10" t="s">
        <v>12</v>
      </c>
      <c r="AF113" t="s">
        <v>12</v>
      </c>
      <c r="AG113" t="s">
        <v>12</v>
      </c>
      <c r="AH113" t="s">
        <v>12</v>
      </c>
      <c r="AJ113" s="10" t="s">
        <v>12</v>
      </c>
      <c r="AK113" t="s">
        <v>12</v>
      </c>
      <c r="AL113" t="s">
        <v>12</v>
      </c>
      <c r="AM113" t="s">
        <v>12</v>
      </c>
    </row>
    <row r="114" spans="1:39" x14ac:dyDescent="0.25">
      <c r="A114" t="s">
        <v>70</v>
      </c>
      <c r="B114" t="s">
        <v>311</v>
      </c>
      <c r="C114" t="s">
        <v>312</v>
      </c>
      <c r="D114" t="s">
        <v>810</v>
      </c>
      <c r="E114" t="s">
        <v>811</v>
      </c>
      <c r="F114" t="s">
        <v>62</v>
      </c>
      <c r="G114" t="s">
        <v>812</v>
      </c>
      <c r="H114" t="s">
        <v>12</v>
      </c>
      <c r="I114" t="s">
        <v>401</v>
      </c>
      <c r="J114" s="12">
        <f t="shared" si="1"/>
        <v>3</v>
      </c>
      <c r="K114" s="10" t="s">
        <v>816</v>
      </c>
      <c r="L114">
        <v>362</v>
      </c>
      <c r="M114" s="3">
        <v>1</v>
      </c>
      <c r="N114">
        <v>3</v>
      </c>
      <c r="O114" t="s">
        <v>664</v>
      </c>
      <c r="P114" s="10" t="s">
        <v>12</v>
      </c>
      <c r="Q114" t="s">
        <v>12</v>
      </c>
      <c r="R114" t="s">
        <v>12</v>
      </c>
      <c r="S114" t="s">
        <v>12</v>
      </c>
      <c r="U114" s="10" t="s">
        <v>12</v>
      </c>
      <c r="V114" t="s">
        <v>12</v>
      </c>
      <c r="W114" t="s">
        <v>12</v>
      </c>
      <c r="X114" t="s">
        <v>12</v>
      </c>
      <c r="Z114" s="10" t="s">
        <v>12</v>
      </c>
      <c r="AA114" t="s">
        <v>12</v>
      </c>
      <c r="AB114" t="s">
        <v>12</v>
      </c>
      <c r="AC114" t="s">
        <v>12</v>
      </c>
      <c r="AE114" s="10" t="s">
        <v>12</v>
      </c>
      <c r="AF114" t="s">
        <v>12</v>
      </c>
      <c r="AG114" t="s">
        <v>12</v>
      </c>
      <c r="AH114" t="s">
        <v>12</v>
      </c>
      <c r="AJ114" s="10" t="s">
        <v>12</v>
      </c>
      <c r="AK114" t="s">
        <v>12</v>
      </c>
      <c r="AL114" t="s">
        <v>12</v>
      </c>
      <c r="AM114" t="s">
        <v>12</v>
      </c>
    </row>
    <row r="115" spans="1:39" x14ac:dyDescent="0.25">
      <c r="A115" t="s">
        <v>70</v>
      </c>
      <c r="B115" t="s">
        <v>311</v>
      </c>
      <c r="C115" t="s">
        <v>312</v>
      </c>
      <c r="D115" t="s">
        <v>810</v>
      </c>
      <c r="E115" t="s">
        <v>811</v>
      </c>
      <c r="F115" t="s">
        <v>105</v>
      </c>
      <c r="G115" t="s">
        <v>812</v>
      </c>
      <c r="H115" t="s">
        <v>12</v>
      </c>
      <c r="I115" t="s">
        <v>401</v>
      </c>
      <c r="J115" s="12">
        <f t="shared" si="1"/>
        <v>3</v>
      </c>
      <c r="K115" s="10" t="s">
        <v>817</v>
      </c>
      <c r="L115">
        <v>7</v>
      </c>
      <c r="M115" s="3">
        <v>1</v>
      </c>
      <c r="N115">
        <v>3</v>
      </c>
      <c r="O115" t="s">
        <v>664</v>
      </c>
      <c r="P115" s="10" t="s">
        <v>12</v>
      </c>
      <c r="Q115" t="s">
        <v>12</v>
      </c>
      <c r="R115" t="s">
        <v>12</v>
      </c>
      <c r="S115" t="s">
        <v>12</v>
      </c>
      <c r="U115" s="10" t="s">
        <v>12</v>
      </c>
      <c r="V115" t="s">
        <v>12</v>
      </c>
      <c r="W115" t="s">
        <v>12</v>
      </c>
      <c r="X115" t="s">
        <v>12</v>
      </c>
      <c r="Z115" s="10" t="s">
        <v>12</v>
      </c>
      <c r="AA115" t="s">
        <v>12</v>
      </c>
      <c r="AB115" t="s">
        <v>12</v>
      </c>
      <c r="AC115" t="s">
        <v>12</v>
      </c>
      <c r="AE115" s="10" t="s">
        <v>12</v>
      </c>
      <c r="AF115" t="s">
        <v>12</v>
      </c>
      <c r="AG115" t="s">
        <v>12</v>
      </c>
      <c r="AH115" t="s">
        <v>12</v>
      </c>
      <c r="AJ115" s="10" t="s">
        <v>12</v>
      </c>
      <c r="AK115" t="s">
        <v>12</v>
      </c>
      <c r="AL115" t="s">
        <v>12</v>
      </c>
      <c r="AM115" t="s">
        <v>12</v>
      </c>
    </row>
    <row r="116" spans="1:39" x14ac:dyDescent="0.25">
      <c r="A116" t="s">
        <v>70</v>
      </c>
      <c r="B116" t="s">
        <v>311</v>
      </c>
      <c r="C116" t="s">
        <v>312</v>
      </c>
      <c r="D116" t="s">
        <v>810</v>
      </c>
      <c r="E116" t="s">
        <v>811</v>
      </c>
      <c r="F116" t="s">
        <v>815</v>
      </c>
      <c r="G116" t="s">
        <v>812</v>
      </c>
      <c r="H116" t="s">
        <v>12</v>
      </c>
      <c r="I116" t="s">
        <v>401</v>
      </c>
      <c r="J116" s="12">
        <f t="shared" si="1"/>
        <v>3</v>
      </c>
      <c r="K116" s="10" t="s">
        <v>818</v>
      </c>
      <c r="L116">
        <v>7</v>
      </c>
      <c r="M116" s="3">
        <v>1</v>
      </c>
      <c r="N116">
        <v>3</v>
      </c>
      <c r="O116" t="s">
        <v>664</v>
      </c>
      <c r="P116" s="10" t="s">
        <v>12</v>
      </c>
      <c r="Q116" t="s">
        <v>12</v>
      </c>
      <c r="R116" t="s">
        <v>12</v>
      </c>
      <c r="S116" t="s">
        <v>12</v>
      </c>
      <c r="U116" s="10" t="s">
        <v>12</v>
      </c>
      <c r="V116" t="s">
        <v>12</v>
      </c>
      <c r="W116" t="s">
        <v>12</v>
      </c>
      <c r="X116" t="s">
        <v>12</v>
      </c>
      <c r="Z116" s="10" t="s">
        <v>12</v>
      </c>
      <c r="AA116" t="s">
        <v>12</v>
      </c>
      <c r="AB116" t="s">
        <v>12</v>
      </c>
      <c r="AC116" t="s">
        <v>12</v>
      </c>
      <c r="AE116" s="10" t="s">
        <v>12</v>
      </c>
      <c r="AF116" t="s">
        <v>12</v>
      </c>
      <c r="AG116" t="s">
        <v>12</v>
      </c>
      <c r="AH116" t="s">
        <v>12</v>
      </c>
      <c r="AJ116" s="10" t="s">
        <v>12</v>
      </c>
      <c r="AK116" t="s">
        <v>12</v>
      </c>
      <c r="AL116" t="s">
        <v>12</v>
      </c>
      <c r="AM116" t="s">
        <v>12</v>
      </c>
    </row>
    <row r="117" spans="1:39" x14ac:dyDescent="0.25">
      <c r="A117" t="s">
        <v>82</v>
      </c>
      <c r="B117" t="s">
        <v>313</v>
      </c>
      <c r="C117" t="s">
        <v>314</v>
      </c>
      <c r="D117" t="s">
        <v>315</v>
      </c>
      <c r="E117" t="s">
        <v>820</v>
      </c>
      <c r="F117" t="s">
        <v>56</v>
      </c>
      <c r="I117" t="s">
        <v>57</v>
      </c>
      <c r="J117" s="12">
        <f t="shared" si="1"/>
        <v>2</v>
      </c>
      <c r="K117" s="10" t="s">
        <v>604</v>
      </c>
      <c r="L117">
        <v>202</v>
      </c>
      <c r="M117" s="3">
        <v>1</v>
      </c>
      <c r="N117">
        <v>2</v>
      </c>
      <c r="O117" t="s">
        <v>662</v>
      </c>
      <c r="P117" s="10" t="s">
        <v>12</v>
      </c>
      <c r="Q117" t="s">
        <v>12</v>
      </c>
      <c r="R117" t="s">
        <v>12</v>
      </c>
      <c r="S117" t="s">
        <v>12</v>
      </c>
      <c r="U117" s="10" t="s">
        <v>605</v>
      </c>
      <c r="V117">
        <v>91</v>
      </c>
      <c r="W117">
        <v>0</v>
      </c>
      <c r="X117">
        <v>0</v>
      </c>
      <c r="Z117" s="10" t="s">
        <v>12</v>
      </c>
      <c r="AA117" t="s">
        <v>12</v>
      </c>
      <c r="AB117" t="s">
        <v>12</v>
      </c>
      <c r="AC117" t="s">
        <v>12</v>
      </c>
      <c r="AE117" s="10" t="s">
        <v>12</v>
      </c>
      <c r="AF117" t="s">
        <v>12</v>
      </c>
      <c r="AG117" t="s">
        <v>12</v>
      </c>
      <c r="AH117" t="s">
        <v>12</v>
      </c>
      <c r="AJ117" s="10" t="s">
        <v>12</v>
      </c>
      <c r="AK117" t="s">
        <v>12</v>
      </c>
      <c r="AL117" t="s">
        <v>12</v>
      </c>
      <c r="AM117" t="s">
        <v>12</v>
      </c>
    </row>
    <row r="118" spans="1:39" x14ac:dyDescent="0.25">
      <c r="A118" t="s">
        <v>316</v>
      </c>
      <c r="C118" t="s">
        <v>317</v>
      </c>
      <c r="D118" t="s">
        <v>318</v>
      </c>
      <c r="E118" t="s">
        <v>819</v>
      </c>
      <c r="F118" t="s">
        <v>17</v>
      </c>
      <c r="I118" t="s">
        <v>171</v>
      </c>
      <c r="J118" s="12">
        <f t="shared" si="1"/>
        <v>0</v>
      </c>
      <c r="K118" s="10" t="s">
        <v>652</v>
      </c>
      <c r="L118">
        <v>257</v>
      </c>
      <c r="M118" s="1">
        <v>0</v>
      </c>
      <c r="N118">
        <v>0</v>
      </c>
      <c r="O118" t="s">
        <v>81</v>
      </c>
      <c r="P118" s="10" t="s">
        <v>12</v>
      </c>
      <c r="Q118" t="s">
        <v>12</v>
      </c>
      <c r="R118" t="s">
        <v>12</v>
      </c>
      <c r="S118" t="s">
        <v>12</v>
      </c>
      <c r="U118" s="10" t="s">
        <v>12</v>
      </c>
      <c r="V118" t="s">
        <v>12</v>
      </c>
      <c r="W118" t="s">
        <v>12</v>
      </c>
      <c r="X118" t="s">
        <v>12</v>
      </c>
      <c r="Z118" s="10" t="s">
        <v>12</v>
      </c>
      <c r="AA118" t="s">
        <v>12</v>
      </c>
      <c r="AB118" t="s">
        <v>12</v>
      </c>
      <c r="AC118" t="s">
        <v>12</v>
      </c>
      <c r="AE118" s="10" t="s">
        <v>12</v>
      </c>
      <c r="AF118" t="s">
        <v>12</v>
      </c>
      <c r="AG118" t="s">
        <v>12</v>
      </c>
      <c r="AH118" t="s">
        <v>12</v>
      </c>
      <c r="AJ118" s="10" t="s">
        <v>12</v>
      </c>
      <c r="AK118" t="s">
        <v>12</v>
      </c>
      <c r="AL118" t="s">
        <v>12</v>
      </c>
      <c r="AM118" t="s">
        <v>12</v>
      </c>
    </row>
    <row r="119" spans="1:39" x14ac:dyDescent="0.25">
      <c r="A119" t="s">
        <v>319</v>
      </c>
      <c r="C119" t="s">
        <v>320</v>
      </c>
      <c r="D119" t="s">
        <v>321</v>
      </c>
      <c r="E119" t="s">
        <v>821</v>
      </c>
      <c r="F119" t="s">
        <v>24</v>
      </c>
      <c r="I119">
        <v>1</v>
      </c>
      <c r="J119" s="12">
        <f t="shared" si="1"/>
        <v>0</v>
      </c>
      <c r="K119" s="10" t="s">
        <v>12</v>
      </c>
      <c r="L119" t="s">
        <v>12</v>
      </c>
      <c r="M119" s="2" t="s">
        <v>12</v>
      </c>
      <c r="N119" t="s">
        <v>12</v>
      </c>
      <c r="P119" s="10" t="s">
        <v>12</v>
      </c>
      <c r="Q119" t="s">
        <v>12</v>
      </c>
      <c r="R119" t="s">
        <v>12</v>
      </c>
      <c r="S119" t="s">
        <v>12</v>
      </c>
      <c r="U119" s="10" t="s">
        <v>12</v>
      </c>
      <c r="V119" t="s">
        <v>12</v>
      </c>
      <c r="W119" t="s">
        <v>12</v>
      </c>
      <c r="X119" t="s">
        <v>12</v>
      </c>
      <c r="Z119" s="10" t="s">
        <v>12</v>
      </c>
      <c r="AA119" t="s">
        <v>12</v>
      </c>
      <c r="AB119" t="s">
        <v>12</v>
      </c>
      <c r="AC119" t="s">
        <v>12</v>
      </c>
      <c r="AE119" s="10" t="s">
        <v>822</v>
      </c>
      <c r="AF119">
        <v>1223</v>
      </c>
      <c r="AG119">
        <v>0</v>
      </c>
      <c r="AH119">
        <v>0</v>
      </c>
      <c r="AJ119" s="10" t="s">
        <v>12</v>
      </c>
      <c r="AK119" t="s">
        <v>12</v>
      </c>
      <c r="AL119" t="s">
        <v>12</v>
      </c>
      <c r="AM119" t="s">
        <v>12</v>
      </c>
    </row>
    <row r="120" spans="1:39" x14ac:dyDescent="0.25">
      <c r="A120" t="s">
        <v>322</v>
      </c>
      <c r="C120" t="s">
        <v>323</v>
      </c>
      <c r="D120" t="s">
        <v>324</v>
      </c>
      <c r="E120" t="s">
        <v>823</v>
      </c>
      <c r="F120" t="s">
        <v>825</v>
      </c>
      <c r="I120">
        <v>1</v>
      </c>
      <c r="J120" s="12">
        <f t="shared" si="1"/>
        <v>0</v>
      </c>
      <c r="K120" s="10" t="s">
        <v>12</v>
      </c>
      <c r="L120" t="s">
        <v>12</v>
      </c>
      <c r="M120" s="2" t="s">
        <v>12</v>
      </c>
      <c r="N120" t="s">
        <v>12</v>
      </c>
      <c r="P120" s="10" t="s">
        <v>12</v>
      </c>
      <c r="Q120" t="s">
        <v>12</v>
      </c>
      <c r="R120" t="s">
        <v>12</v>
      </c>
      <c r="S120" t="s">
        <v>12</v>
      </c>
      <c r="U120" s="10" t="s">
        <v>12</v>
      </c>
      <c r="V120" t="s">
        <v>12</v>
      </c>
      <c r="W120" t="s">
        <v>12</v>
      </c>
      <c r="X120" t="s">
        <v>12</v>
      </c>
      <c r="Z120" s="10" t="s">
        <v>12</v>
      </c>
      <c r="AA120" t="s">
        <v>12</v>
      </c>
      <c r="AB120" t="s">
        <v>12</v>
      </c>
      <c r="AC120" t="s">
        <v>12</v>
      </c>
      <c r="AE120" s="10" t="s">
        <v>824</v>
      </c>
      <c r="AF120">
        <v>152</v>
      </c>
      <c r="AG120">
        <v>0</v>
      </c>
      <c r="AH120">
        <v>0</v>
      </c>
      <c r="AJ120" s="10" t="s">
        <v>12</v>
      </c>
      <c r="AK120" t="s">
        <v>12</v>
      </c>
      <c r="AL120" t="s">
        <v>12</v>
      </c>
      <c r="AM120" t="s">
        <v>12</v>
      </c>
    </row>
    <row r="121" spans="1:39" x14ac:dyDescent="0.25">
      <c r="A121" t="s">
        <v>325</v>
      </c>
      <c r="C121" t="s">
        <v>326</v>
      </c>
      <c r="D121" t="s">
        <v>327</v>
      </c>
      <c r="E121" t="s">
        <v>826</v>
      </c>
      <c r="F121" t="s">
        <v>825</v>
      </c>
      <c r="G121" t="s">
        <v>828</v>
      </c>
      <c r="H121" t="s">
        <v>12</v>
      </c>
      <c r="I121">
        <v>1</v>
      </c>
      <c r="J121" s="12">
        <f t="shared" si="1"/>
        <v>0</v>
      </c>
      <c r="K121" s="10" t="s">
        <v>827</v>
      </c>
      <c r="L121">
        <v>170</v>
      </c>
      <c r="M121">
        <v>1</v>
      </c>
      <c r="N121" s="7">
        <v>0</v>
      </c>
      <c r="O121" t="s">
        <v>665</v>
      </c>
      <c r="P121" s="10" t="s">
        <v>12</v>
      </c>
      <c r="Q121" t="s">
        <v>12</v>
      </c>
      <c r="R121" t="s">
        <v>12</v>
      </c>
      <c r="S121" t="s">
        <v>12</v>
      </c>
      <c r="U121" s="10" t="s">
        <v>12</v>
      </c>
      <c r="V121" t="s">
        <v>12</v>
      </c>
      <c r="W121" t="s">
        <v>12</v>
      </c>
      <c r="X121" t="s">
        <v>12</v>
      </c>
      <c r="Z121" s="10" t="s">
        <v>12</v>
      </c>
      <c r="AA121" t="s">
        <v>12</v>
      </c>
      <c r="AB121" t="s">
        <v>12</v>
      </c>
      <c r="AC121" t="s">
        <v>12</v>
      </c>
      <c r="AE121" s="10" t="s">
        <v>12</v>
      </c>
      <c r="AF121" t="s">
        <v>12</v>
      </c>
      <c r="AG121" t="s">
        <v>12</v>
      </c>
      <c r="AH121" t="s">
        <v>12</v>
      </c>
      <c r="AJ121" s="10" t="s">
        <v>12</v>
      </c>
      <c r="AK121" t="s">
        <v>12</v>
      </c>
      <c r="AL121" t="s">
        <v>12</v>
      </c>
      <c r="AM121" t="s">
        <v>12</v>
      </c>
    </row>
    <row r="122" spans="1:39" x14ac:dyDescent="0.25">
      <c r="A122" t="s">
        <v>328</v>
      </c>
      <c r="C122" t="s">
        <v>329</v>
      </c>
      <c r="D122" t="s">
        <v>330</v>
      </c>
      <c r="E122" t="s">
        <v>829</v>
      </c>
      <c r="F122" t="s">
        <v>825</v>
      </c>
      <c r="I122" t="s">
        <v>563</v>
      </c>
      <c r="J122" s="12">
        <f t="shared" si="1"/>
        <v>0</v>
      </c>
      <c r="K122" s="10" t="s">
        <v>12</v>
      </c>
      <c r="L122" t="s">
        <v>12</v>
      </c>
      <c r="M122" s="2" t="s">
        <v>12</v>
      </c>
      <c r="N122" t="s">
        <v>12</v>
      </c>
      <c r="P122" s="10" t="s">
        <v>12</v>
      </c>
      <c r="Q122" t="s">
        <v>12</v>
      </c>
      <c r="R122" t="s">
        <v>12</v>
      </c>
      <c r="S122" t="s">
        <v>12</v>
      </c>
      <c r="U122" s="10" t="s">
        <v>12</v>
      </c>
      <c r="V122" t="s">
        <v>12</v>
      </c>
      <c r="W122" t="s">
        <v>12</v>
      </c>
      <c r="X122" t="s">
        <v>12</v>
      </c>
      <c r="Z122" s="10" t="s">
        <v>12</v>
      </c>
      <c r="AA122" t="s">
        <v>12</v>
      </c>
      <c r="AB122" t="s">
        <v>12</v>
      </c>
      <c r="AC122" t="s">
        <v>12</v>
      </c>
      <c r="AE122" s="10" t="s">
        <v>830</v>
      </c>
      <c r="AF122">
        <v>56</v>
      </c>
      <c r="AG122">
        <v>0</v>
      </c>
      <c r="AH122">
        <v>0</v>
      </c>
      <c r="AJ122" s="10" t="s">
        <v>12</v>
      </c>
      <c r="AK122" t="s">
        <v>12</v>
      </c>
      <c r="AL122" t="s">
        <v>12</v>
      </c>
      <c r="AM122" t="s">
        <v>12</v>
      </c>
    </row>
    <row r="123" spans="1:39" x14ac:dyDescent="0.25">
      <c r="A123" t="s">
        <v>331</v>
      </c>
      <c r="C123" t="s">
        <v>332</v>
      </c>
      <c r="D123" t="s">
        <v>333</v>
      </c>
      <c r="E123" t="s">
        <v>831</v>
      </c>
      <c r="F123" t="s">
        <v>31</v>
      </c>
      <c r="G123" t="s">
        <v>833</v>
      </c>
      <c r="H123" t="s">
        <v>12</v>
      </c>
      <c r="J123" s="12">
        <f t="shared" si="1"/>
        <v>3</v>
      </c>
      <c r="K123" s="10" t="s">
        <v>832</v>
      </c>
      <c r="L123">
        <v>79</v>
      </c>
      <c r="M123" s="3">
        <v>1</v>
      </c>
      <c r="N123">
        <v>3</v>
      </c>
      <c r="O123" t="s">
        <v>661</v>
      </c>
      <c r="P123" s="10" t="s">
        <v>12</v>
      </c>
      <c r="Q123" t="s">
        <v>12</v>
      </c>
      <c r="R123" t="s">
        <v>12</v>
      </c>
      <c r="S123" t="s">
        <v>12</v>
      </c>
      <c r="U123" s="10" t="s">
        <v>12</v>
      </c>
      <c r="V123" t="s">
        <v>12</v>
      </c>
      <c r="W123" t="s">
        <v>12</v>
      </c>
      <c r="X123" t="s">
        <v>12</v>
      </c>
      <c r="Z123" s="10" t="s">
        <v>12</v>
      </c>
      <c r="AA123" t="s">
        <v>12</v>
      </c>
      <c r="AB123" t="s">
        <v>12</v>
      </c>
      <c r="AC123" t="s">
        <v>12</v>
      </c>
      <c r="AE123" s="10" t="s">
        <v>12</v>
      </c>
      <c r="AF123" t="s">
        <v>12</v>
      </c>
      <c r="AG123" t="s">
        <v>12</v>
      </c>
      <c r="AH123" t="s">
        <v>12</v>
      </c>
      <c r="AJ123" s="10" t="s">
        <v>12</v>
      </c>
      <c r="AK123" t="s">
        <v>12</v>
      </c>
      <c r="AL123" t="s">
        <v>12</v>
      </c>
      <c r="AM123" t="s">
        <v>12</v>
      </c>
    </row>
    <row r="124" spans="1:39" x14ac:dyDescent="0.25">
      <c r="A124" t="s">
        <v>334</v>
      </c>
      <c r="C124" t="s">
        <v>335</v>
      </c>
      <c r="D124" t="s">
        <v>336</v>
      </c>
      <c r="E124" t="s">
        <v>834</v>
      </c>
      <c r="F124" t="s">
        <v>115</v>
      </c>
      <c r="I124" t="s">
        <v>113</v>
      </c>
      <c r="J124" s="12">
        <f t="shared" si="1"/>
        <v>0</v>
      </c>
      <c r="K124" t="s">
        <v>619</v>
      </c>
      <c r="L124">
        <v>35</v>
      </c>
      <c r="M124" s="1">
        <v>0</v>
      </c>
      <c r="N124">
        <v>0</v>
      </c>
      <c r="O124" t="s">
        <v>81</v>
      </c>
      <c r="P124" s="10" t="s">
        <v>12</v>
      </c>
      <c r="Q124" t="s">
        <v>12</v>
      </c>
      <c r="R124" t="s">
        <v>12</v>
      </c>
      <c r="S124" t="s">
        <v>12</v>
      </c>
      <c r="U124" s="10" t="s">
        <v>12</v>
      </c>
      <c r="V124" t="s">
        <v>12</v>
      </c>
      <c r="W124" t="s">
        <v>12</v>
      </c>
      <c r="X124" t="s">
        <v>12</v>
      </c>
      <c r="Z124" s="10" t="s">
        <v>12</v>
      </c>
      <c r="AA124" t="s">
        <v>12</v>
      </c>
      <c r="AB124" t="s">
        <v>12</v>
      </c>
      <c r="AC124" t="s">
        <v>12</v>
      </c>
      <c r="AE124" s="10" t="s">
        <v>12</v>
      </c>
      <c r="AF124" t="s">
        <v>12</v>
      </c>
      <c r="AG124" t="s">
        <v>12</v>
      </c>
      <c r="AH124" t="s">
        <v>12</v>
      </c>
      <c r="AJ124" s="10" t="s">
        <v>12</v>
      </c>
      <c r="AK124" t="s">
        <v>12</v>
      </c>
      <c r="AL124" t="s">
        <v>12</v>
      </c>
      <c r="AM124" t="s">
        <v>12</v>
      </c>
    </row>
    <row r="125" spans="1:39" x14ac:dyDescent="0.25">
      <c r="A125" t="s">
        <v>334</v>
      </c>
      <c r="C125" t="s">
        <v>335</v>
      </c>
      <c r="D125" t="s">
        <v>336</v>
      </c>
      <c r="E125" t="s">
        <v>834</v>
      </c>
      <c r="F125" t="s">
        <v>115</v>
      </c>
      <c r="I125" t="s">
        <v>257</v>
      </c>
      <c r="J125" s="12">
        <f t="shared" ref="J125" si="4">SUM(N125,X125,AH125)</f>
        <v>0</v>
      </c>
      <c r="K125" t="s">
        <v>620</v>
      </c>
      <c r="L125">
        <v>16</v>
      </c>
      <c r="M125" s="1">
        <v>0</v>
      </c>
      <c r="N125">
        <v>0</v>
      </c>
      <c r="O125" t="s">
        <v>81</v>
      </c>
      <c r="P125" s="10" t="s">
        <v>12</v>
      </c>
      <c r="Q125" t="s">
        <v>12</v>
      </c>
      <c r="R125" t="s">
        <v>12</v>
      </c>
      <c r="S125" t="s">
        <v>12</v>
      </c>
      <c r="U125" s="10" t="s">
        <v>12</v>
      </c>
      <c r="V125" t="s">
        <v>12</v>
      </c>
      <c r="W125" t="s">
        <v>12</v>
      </c>
      <c r="X125" t="s">
        <v>12</v>
      </c>
      <c r="Z125" s="10" t="s">
        <v>12</v>
      </c>
      <c r="AA125" t="s">
        <v>12</v>
      </c>
      <c r="AB125" t="s">
        <v>12</v>
      </c>
      <c r="AC125" t="s">
        <v>12</v>
      </c>
      <c r="AE125" s="10" t="s">
        <v>12</v>
      </c>
      <c r="AF125" t="s">
        <v>12</v>
      </c>
      <c r="AG125" t="s">
        <v>12</v>
      </c>
      <c r="AH125" t="s">
        <v>12</v>
      </c>
      <c r="AJ125" s="10" t="s">
        <v>12</v>
      </c>
      <c r="AK125" t="s">
        <v>12</v>
      </c>
      <c r="AL125" t="s">
        <v>12</v>
      </c>
      <c r="AM125" t="s">
        <v>12</v>
      </c>
    </row>
    <row r="126" spans="1:39" x14ac:dyDescent="0.25">
      <c r="A126" s="2"/>
      <c r="B126" s="2"/>
      <c r="C126" s="2" t="s">
        <v>337</v>
      </c>
      <c r="D126" s="2" t="s">
        <v>337</v>
      </c>
      <c r="E126" s="2"/>
      <c r="F126" s="2" t="s">
        <v>74</v>
      </c>
      <c r="G126" s="2"/>
      <c r="H126" s="2"/>
      <c r="I126" s="2" t="s">
        <v>100</v>
      </c>
      <c r="J126" s="13">
        <f t="shared" si="1"/>
        <v>0</v>
      </c>
      <c r="K126" s="11" t="s">
        <v>835</v>
      </c>
      <c r="L126" s="2">
        <v>464</v>
      </c>
      <c r="M126" s="2">
        <v>0</v>
      </c>
      <c r="N126" s="2">
        <v>0</v>
      </c>
      <c r="O126" s="2" t="s">
        <v>631</v>
      </c>
      <c r="P126" s="11" t="s">
        <v>12</v>
      </c>
      <c r="Q126" s="2" t="s">
        <v>12</v>
      </c>
      <c r="R126" s="2" t="s">
        <v>12</v>
      </c>
      <c r="S126" s="2" t="s">
        <v>12</v>
      </c>
      <c r="T126" s="2"/>
      <c r="U126" s="11" t="s">
        <v>12</v>
      </c>
      <c r="V126" s="2" t="s">
        <v>12</v>
      </c>
      <c r="W126" s="2" t="s">
        <v>12</v>
      </c>
      <c r="X126" s="2" t="s">
        <v>12</v>
      </c>
      <c r="Y126" s="2"/>
      <c r="Z126" s="11" t="s">
        <v>12</v>
      </c>
      <c r="AA126" s="2" t="s">
        <v>12</v>
      </c>
      <c r="AB126" s="2" t="s">
        <v>12</v>
      </c>
      <c r="AC126" s="2" t="s">
        <v>12</v>
      </c>
      <c r="AD126" s="2"/>
      <c r="AE126" s="11" t="s">
        <v>12</v>
      </c>
      <c r="AF126" s="2" t="s">
        <v>12</v>
      </c>
      <c r="AG126" s="2" t="s">
        <v>12</v>
      </c>
      <c r="AH126" s="2" t="s">
        <v>12</v>
      </c>
      <c r="AI126" s="2"/>
      <c r="AJ126" s="11" t="s">
        <v>12</v>
      </c>
      <c r="AK126" s="2" t="s">
        <v>12</v>
      </c>
      <c r="AL126" s="2" t="s">
        <v>12</v>
      </c>
      <c r="AM126" s="2" t="s">
        <v>12</v>
      </c>
    </row>
    <row r="127" spans="1:39" x14ac:dyDescent="0.25">
      <c r="A127" s="2"/>
      <c r="B127" s="2"/>
      <c r="C127" s="2" t="s">
        <v>338</v>
      </c>
      <c r="D127" s="2" t="s">
        <v>338</v>
      </c>
      <c r="E127" s="2"/>
      <c r="F127" s="2" t="s">
        <v>74</v>
      </c>
      <c r="G127" s="2"/>
      <c r="H127" s="2"/>
      <c r="I127" s="2" t="s">
        <v>100</v>
      </c>
      <c r="J127" s="13">
        <f t="shared" si="1"/>
        <v>0</v>
      </c>
      <c r="K127" s="11" t="s">
        <v>836</v>
      </c>
      <c r="L127" s="2">
        <v>16</v>
      </c>
      <c r="M127" s="2">
        <v>0</v>
      </c>
      <c r="N127" s="2">
        <v>0</v>
      </c>
      <c r="O127" s="2" t="s">
        <v>631</v>
      </c>
      <c r="P127" s="11" t="s">
        <v>12</v>
      </c>
      <c r="Q127" s="2" t="s">
        <v>12</v>
      </c>
      <c r="R127" s="2" t="s">
        <v>12</v>
      </c>
      <c r="S127" s="2" t="s">
        <v>12</v>
      </c>
      <c r="T127" s="2"/>
      <c r="U127" s="11" t="s">
        <v>12</v>
      </c>
      <c r="V127" s="2" t="s">
        <v>12</v>
      </c>
      <c r="W127" s="2" t="s">
        <v>12</v>
      </c>
      <c r="X127" s="2" t="s">
        <v>12</v>
      </c>
      <c r="Y127" s="2"/>
      <c r="Z127" s="11" t="s">
        <v>12</v>
      </c>
      <c r="AA127" s="2" t="s">
        <v>12</v>
      </c>
      <c r="AB127" s="2" t="s">
        <v>12</v>
      </c>
      <c r="AC127" s="2" t="s">
        <v>12</v>
      </c>
      <c r="AD127" s="2"/>
      <c r="AE127" s="11" t="s">
        <v>12</v>
      </c>
      <c r="AF127" s="2" t="s">
        <v>12</v>
      </c>
      <c r="AG127" s="2" t="s">
        <v>12</v>
      </c>
      <c r="AH127" s="2" t="s">
        <v>12</v>
      </c>
      <c r="AI127" s="2"/>
      <c r="AJ127" s="11" t="s">
        <v>12</v>
      </c>
      <c r="AK127" s="2" t="s">
        <v>12</v>
      </c>
      <c r="AL127" s="2" t="s">
        <v>12</v>
      </c>
      <c r="AM127" s="2" t="s">
        <v>12</v>
      </c>
    </row>
    <row r="128" spans="1:39" x14ac:dyDescent="0.25">
      <c r="A128" s="2"/>
      <c r="B128" s="2"/>
      <c r="C128" s="2" t="s">
        <v>339</v>
      </c>
      <c r="D128" s="2" t="s">
        <v>339</v>
      </c>
      <c r="E128" s="2"/>
      <c r="F128" s="2" t="s">
        <v>74</v>
      </c>
      <c r="G128" s="2"/>
      <c r="H128" s="2"/>
      <c r="I128" s="2" t="s">
        <v>100</v>
      </c>
      <c r="J128" s="13">
        <f t="shared" si="1"/>
        <v>0</v>
      </c>
      <c r="K128" s="11" t="s">
        <v>837</v>
      </c>
      <c r="L128" s="2">
        <v>5</v>
      </c>
      <c r="M128" s="2">
        <v>0</v>
      </c>
      <c r="N128" s="2">
        <v>0</v>
      </c>
      <c r="O128" s="2" t="s">
        <v>631</v>
      </c>
      <c r="P128" s="11" t="s">
        <v>12</v>
      </c>
      <c r="Q128" s="2" t="s">
        <v>12</v>
      </c>
      <c r="R128" s="2" t="s">
        <v>12</v>
      </c>
      <c r="S128" s="2" t="s">
        <v>12</v>
      </c>
      <c r="T128" s="2"/>
      <c r="U128" s="11" t="s">
        <v>12</v>
      </c>
      <c r="V128" s="2" t="s">
        <v>12</v>
      </c>
      <c r="W128" s="2" t="s">
        <v>12</v>
      </c>
      <c r="X128" s="2" t="s">
        <v>12</v>
      </c>
      <c r="Y128" s="2"/>
      <c r="Z128" s="11" t="s">
        <v>12</v>
      </c>
      <c r="AA128" s="2" t="s">
        <v>12</v>
      </c>
      <c r="AB128" s="2" t="s">
        <v>12</v>
      </c>
      <c r="AC128" s="2" t="s">
        <v>12</v>
      </c>
      <c r="AD128" s="2"/>
      <c r="AE128" s="11" t="s">
        <v>12</v>
      </c>
      <c r="AF128" s="2" t="s">
        <v>12</v>
      </c>
      <c r="AG128" s="2" t="s">
        <v>12</v>
      </c>
      <c r="AH128" s="2" t="s">
        <v>12</v>
      </c>
      <c r="AI128" s="2"/>
      <c r="AJ128" s="11" t="s">
        <v>12</v>
      </c>
      <c r="AK128" s="2" t="s">
        <v>12</v>
      </c>
      <c r="AL128" s="2" t="s">
        <v>12</v>
      </c>
      <c r="AM128" s="2" t="s">
        <v>12</v>
      </c>
    </row>
    <row r="129" spans="1:39" x14ac:dyDescent="0.25">
      <c r="A129" s="2"/>
      <c r="B129" s="2"/>
      <c r="C129" s="2" t="s">
        <v>340</v>
      </c>
      <c r="D129" s="2" t="s">
        <v>340</v>
      </c>
      <c r="E129" s="2"/>
      <c r="F129" s="2" t="s">
        <v>74</v>
      </c>
      <c r="G129" s="2"/>
      <c r="H129" s="2"/>
      <c r="I129" s="2" t="s">
        <v>100</v>
      </c>
      <c r="J129" s="13">
        <f t="shared" si="1"/>
        <v>0</v>
      </c>
      <c r="K129" s="11" t="s">
        <v>838</v>
      </c>
      <c r="L129" s="2">
        <v>86</v>
      </c>
      <c r="M129" s="2">
        <v>0</v>
      </c>
      <c r="N129" s="2">
        <v>0</v>
      </c>
      <c r="O129" s="2" t="s">
        <v>631</v>
      </c>
      <c r="P129" s="11" t="s">
        <v>12</v>
      </c>
      <c r="Q129" s="2" t="s">
        <v>12</v>
      </c>
      <c r="R129" s="2" t="s">
        <v>12</v>
      </c>
      <c r="S129" s="2" t="s">
        <v>12</v>
      </c>
      <c r="T129" s="2"/>
      <c r="U129" s="11" t="s">
        <v>12</v>
      </c>
      <c r="V129" s="2" t="s">
        <v>12</v>
      </c>
      <c r="W129" s="2" t="s">
        <v>12</v>
      </c>
      <c r="X129" s="2" t="s">
        <v>12</v>
      </c>
      <c r="Y129" s="2"/>
      <c r="Z129" s="11" t="s">
        <v>12</v>
      </c>
      <c r="AA129" s="2" t="s">
        <v>12</v>
      </c>
      <c r="AB129" s="2" t="s">
        <v>12</v>
      </c>
      <c r="AC129" s="2" t="s">
        <v>12</v>
      </c>
      <c r="AD129" s="2"/>
      <c r="AE129" s="11" t="s">
        <v>12</v>
      </c>
      <c r="AF129" s="2" t="s">
        <v>12</v>
      </c>
      <c r="AG129" s="2" t="s">
        <v>12</v>
      </c>
      <c r="AH129" s="2" t="s">
        <v>12</v>
      </c>
      <c r="AI129" s="2"/>
      <c r="AJ129" s="11" t="s">
        <v>12</v>
      </c>
      <c r="AK129" s="2" t="s">
        <v>12</v>
      </c>
      <c r="AL129" s="2" t="s">
        <v>12</v>
      </c>
      <c r="AM129" s="2" t="s">
        <v>12</v>
      </c>
    </row>
    <row r="130" spans="1:39" x14ac:dyDescent="0.25">
      <c r="A130" s="2"/>
      <c r="B130" s="2"/>
      <c r="C130" s="2" t="s">
        <v>341</v>
      </c>
      <c r="D130" s="2" t="s">
        <v>341</v>
      </c>
      <c r="E130" s="2"/>
      <c r="F130" s="2" t="s">
        <v>74</v>
      </c>
      <c r="G130" s="2"/>
      <c r="H130" s="2"/>
      <c r="I130" s="2" t="s">
        <v>100</v>
      </c>
      <c r="J130" s="13">
        <f t="shared" si="1"/>
        <v>0</v>
      </c>
      <c r="K130" s="11" t="s">
        <v>839</v>
      </c>
      <c r="L130" s="2">
        <v>154</v>
      </c>
      <c r="M130" s="2">
        <v>0</v>
      </c>
      <c r="N130" s="2">
        <v>0</v>
      </c>
      <c r="O130" s="2" t="s">
        <v>631</v>
      </c>
      <c r="P130" s="11" t="s">
        <v>12</v>
      </c>
      <c r="Q130" s="2" t="s">
        <v>12</v>
      </c>
      <c r="R130" s="2" t="s">
        <v>12</v>
      </c>
      <c r="S130" s="2" t="s">
        <v>12</v>
      </c>
      <c r="T130" s="2"/>
      <c r="U130" s="11" t="s">
        <v>12</v>
      </c>
      <c r="V130" s="2" t="s">
        <v>12</v>
      </c>
      <c r="W130" s="2" t="s">
        <v>12</v>
      </c>
      <c r="X130" s="2" t="s">
        <v>12</v>
      </c>
      <c r="Y130" s="2"/>
      <c r="Z130" s="11" t="s">
        <v>12</v>
      </c>
      <c r="AA130" s="2" t="s">
        <v>12</v>
      </c>
      <c r="AB130" s="2" t="s">
        <v>12</v>
      </c>
      <c r="AC130" s="2" t="s">
        <v>12</v>
      </c>
      <c r="AD130" s="2"/>
      <c r="AE130" s="11" t="s">
        <v>12</v>
      </c>
      <c r="AF130" s="2" t="s">
        <v>12</v>
      </c>
      <c r="AG130" s="2" t="s">
        <v>12</v>
      </c>
      <c r="AH130" s="2" t="s">
        <v>12</v>
      </c>
      <c r="AI130" s="2"/>
      <c r="AJ130" s="11" t="s">
        <v>12</v>
      </c>
      <c r="AK130" s="2" t="s">
        <v>12</v>
      </c>
      <c r="AL130" s="2" t="s">
        <v>12</v>
      </c>
      <c r="AM130" s="2" t="s">
        <v>12</v>
      </c>
    </row>
    <row r="131" spans="1:39" x14ac:dyDescent="0.25">
      <c r="A131" s="4" t="s">
        <v>342</v>
      </c>
      <c r="B131" s="4"/>
      <c r="C131" s="4" t="s">
        <v>343</v>
      </c>
      <c r="D131" s="4" t="s">
        <v>57</v>
      </c>
      <c r="E131" s="4" t="s">
        <v>344</v>
      </c>
      <c r="F131" s="4" t="s">
        <v>56</v>
      </c>
      <c r="G131" s="4" t="s">
        <v>345</v>
      </c>
      <c r="H131" s="4" t="s">
        <v>12</v>
      </c>
      <c r="I131" s="4">
        <v>1</v>
      </c>
      <c r="J131" s="17">
        <f t="shared" si="1"/>
        <v>4</v>
      </c>
      <c r="K131" s="15" t="s">
        <v>604</v>
      </c>
      <c r="L131" s="4">
        <v>202</v>
      </c>
      <c r="M131" s="1">
        <v>1</v>
      </c>
      <c r="N131" s="4">
        <v>4</v>
      </c>
      <c r="O131" s="4" t="s">
        <v>840</v>
      </c>
      <c r="P131" s="10" t="s">
        <v>12</v>
      </c>
      <c r="Q131" t="s">
        <v>12</v>
      </c>
      <c r="R131" t="s">
        <v>12</v>
      </c>
      <c r="S131" t="s">
        <v>12</v>
      </c>
      <c r="T131" s="4"/>
      <c r="U131" s="15" t="s">
        <v>605</v>
      </c>
      <c r="V131" s="4">
        <v>91</v>
      </c>
      <c r="W131" s="4">
        <v>0</v>
      </c>
      <c r="X131" s="4">
        <v>0</v>
      </c>
      <c r="Z131" s="10" t="s">
        <v>12</v>
      </c>
      <c r="AA131" t="s">
        <v>12</v>
      </c>
      <c r="AB131" t="s">
        <v>12</v>
      </c>
      <c r="AC131" t="s">
        <v>12</v>
      </c>
      <c r="AE131" s="10" t="s">
        <v>612</v>
      </c>
      <c r="AF131">
        <v>187</v>
      </c>
      <c r="AG131">
        <v>0</v>
      </c>
      <c r="AH131">
        <v>0</v>
      </c>
      <c r="AJ131" s="10" t="s">
        <v>841</v>
      </c>
      <c r="AK131">
        <v>6</v>
      </c>
      <c r="AL131">
        <v>0</v>
      </c>
      <c r="AM131">
        <v>0</v>
      </c>
    </row>
    <row r="132" spans="1:39" x14ac:dyDescent="0.25">
      <c r="A132" s="4" t="s">
        <v>342</v>
      </c>
      <c r="B132" s="4"/>
      <c r="C132" s="4" t="s">
        <v>343</v>
      </c>
      <c r="D132" s="4" t="s">
        <v>57</v>
      </c>
      <c r="E132" s="4" t="s">
        <v>344</v>
      </c>
      <c r="F132" s="4" t="s">
        <v>56</v>
      </c>
      <c r="G132" s="4" t="s">
        <v>345</v>
      </c>
      <c r="H132" s="4" t="s">
        <v>12</v>
      </c>
      <c r="I132" s="4" t="s">
        <v>360</v>
      </c>
      <c r="J132" s="17"/>
      <c r="K132" s="15" t="s">
        <v>852</v>
      </c>
      <c r="L132" s="4">
        <v>176</v>
      </c>
      <c r="M132" s="1">
        <v>0</v>
      </c>
      <c r="N132" s="16">
        <v>0</v>
      </c>
      <c r="O132" t="s">
        <v>81</v>
      </c>
      <c r="P132" s="10" t="s">
        <v>12</v>
      </c>
      <c r="Q132" t="s">
        <v>12</v>
      </c>
      <c r="R132" t="s">
        <v>12</v>
      </c>
      <c r="S132" t="s">
        <v>12</v>
      </c>
      <c r="U132" s="10" t="s">
        <v>12</v>
      </c>
      <c r="V132" t="s">
        <v>12</v>
      </c>
      <c r="W132" t="s">
        <v>12</v>
      </c>
      <c r="X132" t="s">
        <v>12</v>
      </c>
      <c r="Z132" s="10" t="s">
        <v>12</v>
      </c>
      <c r="AA132" t="s">
        <v>12</v>
      </c>
      <c r="AB132" t="s">
        <v>12</v>
      </c>
      <c r="AC132" t="s">
        <v>12</v>
      </c>
      <c r="AE132" s="10" t="s">
        <v>12</v>
      </c>
      <c r="AF132" t="s">
        <v>12</v>
      </c>
      <c r="AG132" t="s">
        <v>12</v>
      </c>
      <c r="AH132" t="s">
        <v>12</v>
      </c>
      <c r="AJ132" s="10" t="s">
        <v>12</v>
      </c>
      <c r="AK132" t="s">
        <v>12</v>
      </c>
      <c r="AL132" t="s">
        <v>12</v>
      </c>
      <c r="AM132" t="s">
        <v>12</v>
      </c>
    </row>
    <row r="133" spans="1:39" x14ac:dyDescent="0.25">
      <c r="A133" s="4" t="s">
        <v>342</v>
      </c>
      <c r="B133" s="4"/>
      <c r="C133" s="4" t="s">
        <v>346</v>
      </c>
      <c r="D133" s="4" t="s">
        <v>347</v>
      </c>
      <c r="E133" s="4" t="s">
        <v>842</v>
      </c>
      <c r="F133" s="4" t="s">
        <v>56</v>
      </c>
      <c r="G133" s="4"/>
      <c r="H133" s="4"/>
      <c r="I133" s="4" t="s">
        <v>57</v>
      </c>
      <c r="J133" s="17">
        <f t="shared" si="1"/>
        <v>0</v>
      </c>
      <c r="K133" s="10" t="s">
        <v>12</v>
      </c>
      <c r="L133" t="s">
        <v>12</v>
      </c>
      <c r="M133" s="2" t="s">
        <v>12</v>
      </c>
      <c r="N133" t="s">
        <v>12</v>
      </c>
      <c r="P133" s="10" t="s">
        <v>12</v>
      </c>
      <c r="Q133" t="s">
        <v>12</v>
      </c>
      <c r="R133" t="s">
        <v>12</v>
      </c>
      <c r="S133" t="s">
        <v>12</v>
      </c>
      <c r="U133" s="10" t="s">
        <v>12</v>
      </c>
      <c r="V133" t="s">
        <v>12</v>
      </c>
      <c r="W133" t="s">
        <v>12</v>
      </c>
      <c r="X133" t="s">
        <v>12</v>
      </c>
      <c r="Z133" s="10" t="s">
        <v>12</v>
      </c>
      <c r="AA133" t="s">
        <v>12</v>
      </c>
      <c r="AB133" t="s">
        <v>12</v>
      </c>
      <c r="AC133" t="s">
        <v>12</v>
      </c>
      <c r="AE133" s="10" t="s">
        <v>612</v>
      </c>
      <c r="AF133">
        <v>187</v>
      </c>
      <c r="AG133">
        <v>0</v>
      </c>
      <c r="AH133">
        <v>0</v>
      </c>
      <c r="AJ133" s="10" t="s">
        <v>841</v>
      </c>
      <c r="AK133">
        <v>6</v>
      </c>
      <c r="AL133">
        <v>0</v>
      </c>
      <c r="AM133">
        <v>0</v>
      </c>
    </row>
    <row r="134" spans="1:39" x14ac:dyDescent="0.25">
      <c r="A134" s="4" t="s">
        <v>348</v>
      </c>
      <c r="B134" s="4"/>
      <c r="C134" s="4" t="s">
        <v>349</v>
      </c>
      <c r="D134" s="4" t="s">
        <v>350</v>
      </c>
      <c r="E134" s="4" t="s">
        <v>843</v>
      </c>
      <c r="F134" s="4" t="s">
        <v>132</v>
      </c>
      <c r="G134" s="4"/>
      <c r="H134" s="4"/>
      <c r="I134" s="4" t="s">
        <v>491</v>
      </c>
      <c r="J134" s="17">
        <f t="shared" si="1"/>
        <v>3</v>
      </c>
      <c r="K134" s="15" t="s">
        <v>844</v>
      </c>
      <c r="L134" s="4">
        <v>10</v>
      </c>
      <c r="M134" s="3">
        <v>1</v>
      </c>
      <c r="N134" s="4">
        <v>3</v>
      </c>
      <c r="O134" s="4" t="s">
        <v>661</v>
      </c>
      <c r="P134" s="10" t="s">
        <v>12</v>
      </c>
      <c r="Q134" t="s">
        <v>12</v>
      </c>
      <c r="R134" t="s">
        <v>12</v>
      </c>
      <c r="S134" t="s">
        <v>12</v>
      </c>
      <c r="U134" s="10" t="s">
        <v>12</v>
      </c>
      <c r="V134" t="s">
        <v>12</v>
      </c>
      <c r="W134" t="s">
        <v>12</v>
      </c>
      <c r="X134" t="s">
        <v>12</v>
      </c>
      <c r="Z134" s="10" t="s">
        <v>12</v>
      </c>
      <c r="AA134" t="s">
        <v>12</v>
      </c>
      <c r="AB134" t="s">
        <v>12</v>
      </c>
      <c r="AC134" t="s">
        <v>12</v>
      </c>
      <c r="AE134" s="10" t="s">
        <v>12</v>
      </c>
      <c r="AF134" t="s">
        <v>12</v>
      </c>
      <c r="AG134" t="s">
        <v>12</v>
      </c>
      <c r="AH134" t="s">
        <v>12</v>
      </c>
      <c r="AJ134" s="10" t="s">
        <v>12</v>
      </c>
      <c r="AK134" t="s">
        <v>12</v>
      </c>
      <c r="AL134" t="s">
        <v>12</v>
      </c>
      <c r="AM134" t="s">
        <v>12</v>
      </c>
    </row>
    <row r="135" spans="1:39" x14ac:dyDescent="0.25">
      <c r="A135" s="4" t="s">
        <v>351</v>
      </c>
      <c r="B135" s="4"/>
      <c r="C135" s="4" t="s">
        <v>845</v>
      </c>
      <c r="D135" s="4" t="s">
        <v>846</v>
      </c>
      <c r="E135" s="4" t="s">
        <v>847</v>
      </c>
      <c r="F135" s="4" t="s">
        <v>649</v>
      </c>
      <c r="G135" s="4"/>
      <c r="H135" s="4"/>
      <c r="I135" s="4" t="s">
        <v>214</v>
      </c>
      <c r="J135" s="17">
        <f t="shared" si="1"/>
        <v>0</v>
      </c>
      <c r="K135" s="10" t="s">
        <v>648</v>
      </c>
      <c r="L135">
        <v>14</v>
      </c>
      <c r="M135" s="1">
        <v>0</v>
      </c>
      <c r="N135">
        <v>0</v>
      </c>
      <c r="O135" t="s">
        <v>81</v>
      </c>
      <c r="P135" s="10" t="s">
        <v>12</v>
      </c>
      <c r="Q135" t="s">
        <v>12</v>
      </c>
      <c r="R135" t="s">
        <v>12</v>
      </c>
      <c r="S135" t="s">
        <v>12</v>
      </c>
      <c r="U135" s="10" t="s">
        <v>12</v>
      </c>
      <c r="V135" t="s">
        <v>12</v>
      </c>
      <c r="W135" t="s">
        <v>12</v>
      </c>
      <c r="X135" t="s">
        <v>12</v>
      </c>
      <c r="Z135" s="10" t="s">
        <v>12</v>
      </c>
      <c r="AA135" t="s">
        <v>12</v>
      </c>
      <c r="AB135" t="s">
        <v>12</v>
      </c>
      <c r="AC135" t="s">
        <v>12</v>
      </c>
      <c r="AE135" s="10" t="s">
        <v>12</v>
      </c>
      <c r="AF135" t="s">
        <v>12</v>
      </c>
      <c r="AG135" t="s">
        <v>12</v>
      </c>
      <c r="AH135" t="s">
        <v>12</v>
      </c>
      <c r="AJ135" s="10" t="s">
        <v>12</v>
      </c>
      <c r="AK135" t="s">
        <v>12</v>
      </c>
      <c r="AL135" t="s">
        <v>12</v>
      </c>
      <c r="AM135" t="s">
        <v>12</v>
      </c>
    </row>
    <row r="136" spans="1:39" x14ac:dyDescent="0.25">
      <c r="A136" s="4" t="s">
        <v>352</v>
      </c>
      <c r="B136" s="4"/>
      <c r="C136" s="4" t="s">
        <v>353</v>
      </c>
      <c r="D136" s="4" t="s">
        <v>354</v>
      </c>
      <c r="E136" s="4" t="s">
        <v>848</v>
      </c>
      <c r="F136" s="4" t="s">
        <v>686</v>
      </c>
      <c r="G136" s="4" t="s">
        <v>685</v>
      </c>
      <c r="H136" s="4" t="s">
        <v>12</v>
      </c>
      <c r="I136" s="4" t="s">
        <v>204</v>
      </c>
      <c r="J136" s="17">
        <f t="shared" si="1"/>
        <v>3</v>
      </c>
      <c r="K136" s="10" t="s">
        <v>687</v>
      </c>
      <c r="L136">
        <v>20</v>
      </c>
      <c r="M136" s="3">
        <v>1</v>
      </c>
      <c r="N136">
        <v>3</v>
      </c>
      <c r="O136" t="s">
        <v>661</v>
      </c>
      <c r="P136" s="10" t="s">
        <v>12</v>
      </c>
      <c r="Q136" t="s">
        <v>12</v>
      </c>
      <c r="R136" t="s">
        <v>12</v>
      </c>
      <c r="S136" t="s">
        <v>12</v>
      </c>
      <c r="U136" s="10" t="s">
        <v>12</v>
      </c>
      <c r="V136" t="s">
        <v>12</v>
      </c>
      <c r="W136" t="s">
        <v>12</v>
      </c>
      <c r="X136" t="s">
        <v>12</v>
      </c>
      <c r="Z136" s="10" t="s">
        <v>12</v>
      </c>
      <c r="AA136" t="s">
        <v>12</v>
      </c>
      <c r="AB136" t="s">
        <v>12</v>
      </c>
      <c r="AC136" t="s">
        <v>12</v>
      </c>
      <c r="AE136" s="10" t="s">
        <v>12</v>
      </c>
      <c r="AF136" t="s">
        <v>12</v>
      </c>
      <c r="AG136" t="s">
        <v>12</v>
      </c>
      <c r="AH136" t="s">
        <v>12</v>
      </c>
      <c r="AJ136" s="10" t="s">
        <v>12</v>
      </c>
      <c r="AK136" t="s">
        <v>12</v>
      </c>
      <c r="AL136" t="s">
        <v>12</v>
      </c>
      <c r="AM136" t="s">
        <v>12</v>
      </c>
    </row>
    <row r="137" spans="1:39" x14ac:dyDescent="0.25">
      <c r="A137" s="4" t="s">
        <v>355</v>
      </c>
      <c r="B137" s="4"/>
      <c r="C137" s="4" t="s">
        <v>356</v>
      </c>
      <c r="D137" s="4" t="s">
        <v>357</v>
      </c>
      <c r="E137" s="4" t="s">
        <v>849</v>
      </c>
      <c r="F137" s="4" t="s">
        <v>24</v>
      </c>
      <c r="G137" s="4"/>
      <c r="H137" s="4"/>
      <c r="I137" s="4" t="s">
        <v>44</v>
      </c>
      <c r="J137" s="17">
        <f t="shared" si="1"/>
        <v>2</v>
      </c>
      <c r="K137" s="15" t="s">
        <v>603</v>
      </c>
      <c r="L137" s="4">
        <v>6</v>
      </c>
      <c r="M137" s="3">
        <v>1</v>
      </c>
      <c r="N137" s="4">
        <v>2</v>
      </c>
      <c r="O137" t="s">
        <v>662</v>
      </c>
      <c r="P137" s="10" t="s">
        <v>12</v>
      </c>
      <c r="Q137" t="s">
        <v>12</v>
      </c>
      <c r="R137" t="s">
        <v>12</v>
      </c>
      <c r="S137" t="s">
        <v>12</v>
      </c>
      <c r="U137" s="10" t="s">
        <v>12</v>
      </c>
      <c r="V137" t="s">
        <v>12</v>
      </c>
      <c r="W137" t="s">
        <v>12</v>
      </c>
      <c r="X137" t="s">
        <v>12</v>
      </c>
      <c r="Z137" s="10" t="s">
        <v>12</v>
      </c>
      <c r="AA137" t="s">
        <v>12</v>
      </c>
      <c r="AB137" t="s">
        <v>12</v>
      </c>
      <c r="AC137" t="s">
        <v>12</v>
      </c>
      <c r="AE137" s="10" t="s">
        <v>12</v>
      </c>
      <c r="AF137" t="s">
        <v>12</v>
      </c>
      <c r="AG137" t="s">
        <v>12</v>
      </c>
      <c r="AH137" t="s">
        <v>12</v>
      </c>
      <c r="AJ137" s="10" t="s">
        <v>12</v>
      </c>
      <c r="AK137" t="s">
        <v>12</v>
      </c>
      <c r="AL137" t="s">
        <v>12</v>
      </c>
      <c r="AM137" t="s">
        <v>12</v>
      </c>
    </row>
    <row r="138" spans="1:39" x14ac:dyDescent="0.25">
      <c r="A138" s="4" t="s">
        <v>358</v>
      </c>
      <c r="B138" s="4"/>
      <c r="C138" s="4" t="s">
        <v>359</v>
      </c>
      <c r="D138" s="4" t="s">
        <v>360</v>
      </c>
      <c r="E138" s="4" t="s">
        <v>851</v>
      </c>
      <c r="F138" s="4" t="s">
        <v>56</v>
      </c>
      <c r="G138" s="4"/>
      <c r="H138" s="4"/>
      <c r="I138" s="4">
        <v>1</v>
      </c>
      <c r="J138" s="17">
        <f t="shared" si="1"/>
        <v>0</v>
      </c>
      <c r="K138" s="15" t="s">
        <v>852</v>
      </c>
      <c r="L138" s="4">
        <v>176</v>
      </c>
      <c r="M138" s="1">
        <v>0</v>
      </c>
      <c r="N138" s="16">
        <v>0</v>
      </c>
      <c r="O138" t="s">
        <v>81</v>
      </c>
      <c r="P138" s="10" t="s">
        <v>12</v>
      </c>
      <c r="Q138" t="s">
        <v>12</v>
      </c>
      <c r="R138" t="s">
        <v>12</v>
      </c>
      <c r="S138" t="s">
        <v>12</v>
      </c>
      <c r="U138" s="10" t="s">
        <v>12</v>
      </c>
      <c r="V138" t="s">
        <v>12</v>
      </c>
      <c r="W138" t="s">
        <v>12</v>
      </c>
      <c r="X138" t="s">
        <v>12</v>
      </c>
      <c r="Z138" s="10" t="s">
        <v>12</v>
      </c>
      <c r="AA138" t="s">
        <v>12</v>
      </c>
      <c r="AB138" t="s">
        <v>12</v>
      </c>
      <c r="AC138" t="s">
        <v>12</v>
      </c>
      <c r="AE138" s="10" t="s">
        <v>12</v>
      </c>
      <c r="AF138" t="s">
        <v>12</v>
      </c>
      <c r="AG138" t="s">
        <v>12</v>
      </c>
      <c r="AH138" t="s">
        <v>12</v>
      </c>
      <c r="AJ138" s="10" t="s">
        <v>12</v>
      </c>
      <c r="AK138" t="s">
        <v>12</v>
      </c>
      <c r="AL138" t="s">
        <v>12</v>
      </c>
      <c r="AM138" t="s">
        <v>12</v>
      </c>
    </row>
    <row r="139" spans="1:39" x14ac:dyDescent="0.25">
      <c r="A139" s="4" t="s">
        <v>361</v>
      </c>
      <c r="B139" s="4" t="s">
        <v>802</v>
      </c>
      <c r="C139" s="4" t="s">
        <v>362</v>
      </c>
      <c r="D139" s="4" t="s">
        <v>363</v>
      </c>
      <c r="E139" s="4" t="s">
        <v>853</v>
      </c>
      <c r="F139" s="4" t="s">
        <v>74</v>
      </c>
      <c r="G139" s="4" t="s">
        <v>885</v>
      </c>
      <c r="H139" s="4" t="s">
        <v>12</v>
      </c>
      <c r="I139" s="4">
        <v>1</v>
      </c>
      <c r="J139" s="17">
        <f t="shared" si="1"/>
        <v>3</v>
      </c>
      <c r="K139" s="15" t="s">
        <v>854</v>
      </c>
      <c r="L139" s="4">
        <v>5</v>
      </c>
      <c r="M139" s="3">
        <v>1</v>
      </c>
      <c r="N139" s="16">
        <v>3</v>
      </c>
      <c r="O139" t="s">
        <v>661</v>
      </c>
      <c r="P139" s="10" t="s">
        <v>12</v>
      </c>
      <c r="Q139" t="s">
        <v>12</v>
      </c>
      <c r="R139" t="s">
        <v>12</v>
      </c>
      <c r="S139" t="s">
        <v>12</v>
      </c>
      <c r="T139" s="4"/>
      <c r="U139" s="15" t="s">
        <v>856</v>
      </c>
      <c r="V139" s="4">
        <v>506</v>
      </c>
      <c r="W139" s="4">
        <v>0</v>
      </c>
      <c r="X139" s="4">
        <v>0</v>
      </c>
      <c r="Z139" s="10" t="s">
        <v>855</v>
      </c>
      <c r="AA139">
        <v>49</v>
      </c>
      <c r="AB139">
        <v>0</v>
      </c>
      <c r="AC139">
        <v>0</v>
      </c>
      <c r="AE139" s="10" t="s">
        <v>12</v>
      </c>
      <c r="AF139" t="s">
        <v>12</v>
      </c>
      <c r="AG139" t="s">
        <v>12</v>
      </c>
      <c r="AH139" t="s">
        <v>12</v>
      </c>
      <c r="AJ139" s="10" t="s">
        <v>12</v>
      </c>
      <c r="AK139" t="s">
        <v>12</v>
      </c>
      <c r="AL139" t="s">
        <v>12</v>
      </c>
      <c r="AM139" t="s">
        <v>12</v>
      </c>
    </row>
    <row r="140" spans="1:39" x14ac:dyDescent="0.25">
      <c r="A140" s="4" t="s">
        <v>364</v>
      </c>
      <c r="B140" s="4"/>
      <c r="C140" s="4" t="s">
        <v>365</v>
      </c>
      <c r="D140" s="4" t="s">
        <v>366</v>
      </c>
      <c r="E140" s="4" t="s">
        <v>857</v>
      </c>
      <c r="F140" s="4" t="s">
        <v>858</v>
      </c>
      <c r="G140" s="4"/>
      <c r="H140" s="4"/>
      <c r="I140" s="4" t="s">
        <v>423</v>
      </c>
      <c r="J140" s="17">
        <f t="shared" si="1"/>
        <v>0</v>
      </c>
      <c r="K140" s="10" t="s">
        <v>12</v>
      </c>
      <c r="L140" t="s">
        <v>12</v>
      </c>
      <c r="M140" s="2" t="s">
        <v>12</v>
      </c>
      <c r="N140" t="s">
        <v>12</v>
      </c>
      <c r="O140" s="4"/>
      <c r="P140" s="10" t="s">
        <v>12</v>
      </c>
      <c r="Q140" t="s">
        <v>12</v>
      </c>
      <c r="R140" t="s">
        <v>12</v>
      </c>
      <c r="S140" t="s">
        <v>12</v>
      </c>
      <c r="T140" s="4"/>
      <c r="U140" s="10" t="s">
        <v>12</v>
      </c>
      <c r="V140" t="s">
        <v>12</v>
      </c>
      <c r="W140" t="s">
        <v>12</v>
      </c>
      <c r="X140" t="s">
        <v>12</v>
      </c>
      <c r="Z140" s="10" t="s">
        <v>859</v>
      </c>
      <c r="AA140">
        <v>10</v>
      </c>
      <c r="AB140">
        <v>0</v>
      </c>
      <c r="AC140">
        <v>0</v>
      </c>
      <c r="AE140" s="10" t="s">
        <v>12</v>
      </c>
      <c r="AF140" t="s">
        <v>12</v>
      </c>
      <c r="AG140" t="s">
        <v>12</v>
      </c>
      <c r="AH140" t="s">
        <v>12</v>
      </c>
      <c r="AJ140" s="10" t="s">
        <v>12</v>
      </c>
      <c r="AK140" t="s">
        <v>12</v>
      </c>
      <c r="AL140" t="s">
        <v>12</v>
      </c>
      <c r="AM140" t="s">
        <v>12</v>
      </c>
    </row>
    <row r="141" spans="1:39" x14ac:dyDescent="0.25">
      <c r="A141" s="4" t="s">
        <v>367</v>
      </c>
      <c r="B141" s="4"/>
      <c r="C141" s="4" t="s">
        <v>368</v>
      </c>
      <c r="D141" s="4" t="s">
        <v>44</v>
      </c>
      <c r="E141" s="4" t="s">
        <v>850</v>
      </c>
      <c r="F141" s="4" t="s">
        <v>24</v>
      </c>
      <c r="G141" s="4"/>
      <c r="H141" s="4"/>
      <c r="I141" s="4">
        <v>1</v>
      </c>
      <c r="J141" s="17">
        <f t="shared" si="1"/>
        <v>2</v>
      </c>
      <c r="K141" s="15" t="s">
        <v>603</v>
      </c>
      <c r="L141" s="4">
        <v>6</v>
      </c>
      <c r="M141" s="3">
        <v>1</v>
      </c>
      <c r="N141" s="4">
        <v>2</v>
      </c>
      <c r="O141" t="s">
        <v>662</v>
      </c>
      <c r="P141" s="10" t="s">
        <v>12</v>
      </c>
      <c r="Q141" t="s">
        <v>12</v>
      </c>
      <c r="R141" t="s">
        <v>12</v>
      </c>
      <c r="S141" t="s">
        <v>12</v>
      </c>
      <c r="U141" s="10" t="s">
        <v>12</v>
      </c>
      <c r="V141" t="s">
        <v>12</v>
      </c>
      <c r="W141" t="s">
        <v>12</v>
      </c>
      <c r="X141" t="s">
        <v>12</v>
      </c>
      <c r="Z141" s="10" t="s">
        <v>12</v>
      </c>
      <c r="AA141" t="s">
        <v>12</v>
      </c>
      <c r="AB141" t="s">
        <v>12</v>
      </c>
      <c r="AC141" t="s">
        <v>12</v>
      </c>
      <c r="AE141" s="10" t="s">
        <v>12</v>
      </c>
      <c r="AF141" t="s">
        <v>12</v>
      </c>
      <c r="AG141" t="s">
        <v>12</v>
      </c>
      <c r="AH141" t="s">
        <v>12</v>
      </c>
      <c r="AJ141" s="10" t="s">
        <v>12</v>
      </c>
      <c r="AK141" t="s">
        <v>12</v>
      </c>
      <c r="AL141" t="s">
        <v>12</v>
      </c>
      <c r="AM141" t="s">
        <v>12</v>
      </c>
    </row>
    <row r="142" spans="1:39" x14ac:dyDescent="0.25">
      <c r="A142" s="4" t="s">
        <v>369</v>
      </c>
      <c r="B142" s="4"/>
      <c r="C142" s="4" t="s">
        <v>370</v>
      </c>
      <c r="D142" s="4" t="s">
        <v>371</v>
      </c>
      <c r="E142" s="4" t="s">
        <v>860</v>
      </c>
      <c r="F142" s="4" t="s">
        <v>24</v>
      </c>
      <c r="G142" s="4"/>
      <c r="H142" s="4"/>
      <c r="I142" s="4" t="s">
        <v>25</v>
      </c>
      <c r="J142" s="17">
        <f t="shared" si="1"/>
        <v>0</v>
      </c>
      <c r="K142" s="10" t="s">
        <v>12</v>
      </c>
      <c r="L142" t="s">
        <v>12</v>
      </c>
      <c r="M142" s="2" t="s">
        <v>12</v>
      </c>
      <c r="N142" t="s">
        <v>12</v>
      </c>
      <c r="O142" s="4"/>
      <c r="P142" s="10" t="s">
        <v>12</v>
      </c>
      <c r="Q142" t="s">
        <v>12</v>
      </c>
      <c r="R142" t="s">
        <v>12</v>
      </c>
      <c r="S142" t="s">
        <v>12</v>
      </c>
      <c r="U142" s="10" t="s">
        <v>12</v>
      </c>
      <c r="V142" t="s">
        <v>12</v>
      </c>
      <c r="W142" t="s">
        <v>12</v>
      </c>
      <c r="X142" t="s">
        <v>12</v>
      </c>
      <c r="Z142" s="10" t="s">
        <v>12</v>
      </c>
      <c r="AA142" t="s">
        <v>12</v>
      </c>
      <c r="AB142" t="s">
        <v>12</v>
      </c>
      <c r="AC142" t="s">
        <v>12</v>
      </c>
      <c r="AE142" s="10" t="s">
        <v>12</v>
      </c>
      <c r="AF142" t="s">
        <v>12</v>
      </c>
      <c r="AG142" t="s">
        <v>12</v>
      </c>
      <c r="AH142" t="s">
        <v>12</v>
      </c>
      <c r="AJ142" s="10" t="s">
        <v>627</v>
      </c>
      <c r="AK142">
        <v>1211</v>
      </c>
      <c r="AL142">
        <v>0</v>
      </c>
      <c r="AM142">
        <v>0</v>
      </c>
    </row>
    <row r="143" spans="1:39" x14ac:dyDescent="0.25">
      <c r="A143" s="4" t="s">
        <v>372</v>
      </c>
      <c r="B143" s="4"/>
      <c r="C143" s="4" t="s">
        <v>373</v>
      </c>
      <c r="D143" s="4" t="s">
        <v>374</v>
      </c>
      <c r="E143" s="4" t="s">
        <v>861</v>
      </c>
      <c r="F143" s="4" t="s">
        <v>56</v>
      </c>
      <c r="G143" s="4"/>
      <c r="H143" s="4"/>
      <c r="I143" s="4" t="s">
        <v>149</v>
      </c>
      <c r="J143" s="17">
        <f t="shared" si="1"/>
        <v>0</v>
      </c>
      <c r="K143" s="10" t="s">
        <v>12</v>
      </c>
      <c r="L143" t="s">
        <v>12</v>
      </c>
      <c r="M143" s="2" t="s">
        <v>12</v>
      </c>
      <c r="N143" t="s">
        <v>12</v>
      </c>
      <c r="P143" s="10" t="s">
        <v>628</v>
      </c>
      <c r="Q143">
        <v>138</v>
      </c>
      <c r="R143" s="4">
        <v>0</v>
      </c>
      <c r="S143">
        <v>0</v>
      </c>
      <c r="U143" s="10" t="s">
        <v>12</v>
      </c>
      <c r="V143" t="s">
        <v>12</v>
      </c>
      <c r="W143" t="s">
        <v>12</v>
      </c>
      <c r="X143" t="s">
        <v>12</v>
      </c>
      <c r="Z143" s="10" t="s">
        <v>12</v>
      </c>
      <c r="AA143" t="s">
        <v>12</v>
      </c>
      <c r="AB143" t="s">
        <v>12</v>
      </c>
      <c r="AC143" t="s">
        <v>12</v>
      </c>
      <c r="AE143" s="10" t="s">
        <v>629</v>
      </c>
      <c r="AF143">
        <v>82</v>
      </c>
      <c r="AG143">
        <v>0</v>
      </c>
      <c r="AH143">
        <v>0</v>
      </c>
      <c r="AJ143" s="10" t="s">
        <v>12</v>
      </c>
      <c r="AK143" t="s">
        <v>12</v>
      </c>
      <c r="AL143" t="s">
        <v>12</v>
      </c>
      <c r="AM143" t="s">
        <v>12</v>
      </c>
    </row>
    <row r="144" spans="1:39" x14ac:dyDescent="0.25">
      <c r="A144" s="4" t="s">
        <v>375</v>
      </c>
      <c r="B144" s="4"/>
      <c r="C144" s="4" t="s">
        <v>376</v>
      </c>
      <c r="D144" s="4" t="s">
        <v>377</v>
      </c>
      <c r="E144" s="4" t="s">
        <v>862</v>
      </c>
      <c r="F144" s="4" t="s">
        <v>714</v>
      </c>
      <c r="G144" s="4"/>
      <c r="H144" s="4"/>
      <c r="I144" s="4">
        <v>1</v>
      </c>
      <c r="J144" s="17">
        <f t="shared" si="1"/>
        <v>0</v>
      </c>
      <c r="K144" s="10" t="s">
        <v>12</v>
      </c>
      <c r="L144" t="s">
        <v>12</v>
      </c>
      <c r="M144" s="2" t="s">
        <v>12</v>
      </c>
      <c r="N144" t="s">
        <v>12</v>
      </c>
      <c r="O144" s="4"/>
      <c r="P144" s="10" t="s">
        <v>12</v>
      </c>
      <c r="Q144" t="s">
        <v>12</v>
      </c>
      <c r="R144" t="s">
        <v>12</v>
      </c>
      <c r="S144" t="s">
        <v>12</v>
      </c>
      <c r="U144" s="10" t="s">
        <v>12</v>
      </c>
      <c r="V144" t="s">
        <v>12</v>
      </c>
      <c r="W144" t="s">
        <v>12</v>
      </c>
      <c r="X144" t="s">
        <v>12</v>
      </c>
      <c r="Z144" s="10" t="s">
        <v>12</v>
      </c>
      <c r="AA144" t="s">
        <v>12</v>
      </c>
      <c r="AB144" t="s">
        <v>12</v>
      </c>
      <c r="AC144" t="s">
        <v>12</v>
      </c>
      <c r="AE144" s="10" t="s">
        <v>863</v>
      </c>
      <c r="AF144">
        <v>3</v>
      </c>
      <c r="AG144">
        <v>0</v>
      </c>
      <c r="AH144">
        <v>0</v>
      </c>
      <c r="AJ144" s="10" t="s">
        <v>864</v>
      </c>
      <c r="AK144">
        <v>2</v>
      </c>
      <c r="AL144">
        <v>0</v>
      </c>
      <c r="AM144">
        <v>0</v>
      </c>
    </row>
    <row r="145" spans="1:39" x14ac:dyDescent="0.25">
      <c r="A145" s="4" t="s">
        <v>378</v>
      </c>
      <c r="B145" s="4" t="s">
        <v>27</v>
      </c>
      <c r="C145" s="4" t="s">
        <v>379</v>
      </c>
      <c r="D145" s="4" t="s">
        <v>380</v>
      </c>
      <c r="E145" s="4" t="s">
        <v>865</v>
      </c>
      <c r="F145" s="4" t="s">
        <v>31</v>
      </c>
      <c r="G145" s="4" t="s">
        <v>813</v>
      </c>
      <c r="H145" s="4" t="s">
        <v>12</v>
      </c>
      <c r="I145" t="s">
        <v>807</v>
      </c>
      <c r="J145" s="17">
        <f t="shared" si="1"/>
        <v>3</v>
      </c>
      <c r="K145" s="10" t="s">
        <v>601</v>
      </c>
      <c r="L145">
        <v>37</v>
      </c>
      <c r="M145" s="3">
        <v>1</v>
      </c>
      <c r="N145">
        <v>3</v>
      </c>
      <c r="O145" t="s">
        <v>661</v>
      </c>
      <c r="P145" s="10" t="s">
        <v>12</v>
      </c>
      <c r="Q145" t="s">
        <v>12</v>
      </c>
      <c r="R145" t="s">
        <v>12</v>
      </c>
      <c r="S145" t="s">
        <v>12</v>
      </c>
      <c r="U145" s="10" t="s">
        <v>12</v>
      </c>
      <c r="V145" t="s">
        <v>12</v>
      </c>
      <c r="W145" t="s">
        <v>12</v>
      </c>
      <c r="X145" t="s">
        <v>12</v>
      </c>
      <c r="Z145" s="10" t="s">
        <v>12</v>
      </c>
      <c r="AA145" t="s">
        <v>12</v>
      </c>
      <c r="AB145" t="s">
        <v>12</v>
      </c>
      <c r="AC145" t="s">
        <v>12</v>
      </c>
      <c r="AE145" s="10" t="s">
        <v>12</v>
      </c>
      <c r="AF145" t="s">
        <v>12</v>
      </c>
      <c r="AG145" t="s">
        <v>12</v>
      </c>
      <c r="AH145" t="s">
        <v>12</v>
      </c>
      <c r="AJ145" s="10" t="s">
        <v>12</v>
      </c>
      <c r="AK145" t="s">
        <v>12</v>
      </c>
      <c r="AL145" t="s">
        <v>12</v>
      </c>
      <c r="AM145" t="s">
        <v>12</v>
      </c>
    </row>
    <row r="146" spans="1:39" x14ac:dyDescent="0.25">
      <c r="A146" s="4" t="s">
        <v>59</v>
      </c>
      <c r="B146" s="4"/>
      <c r="C146" s="4" t="s">
        <v>381</v>
      </c>
      <c r="D146" s="4" t="s">
        <v>382</v>
      </c>
      <c r="E146" s="4" t="s">
        <v>866</v>
      </c>
      <c r="F146" s="4" t="s">
        <v>74</v>
      </c>
      <c r="G146" s="4"/>
      <c r="H146" s="4"/>
      <c r="I146" s="4">
        <v>1</v>
      </c>
      <c r="J146" s="17">
        <f t="shared" si="1"/>
        <v>0</v>
      </c>
      <c r="K146" s="10" t="s">
        <v>12</v>
      </c>
      <c r="L146" t="s">
        <v>12</v>
      </c>
      <c r="M146" s="2" t="s">
        <v>12</v>
      </c>
      <c r="N146" t="s">
        <v>12</v>
      </c>
      <c r="O146" s="4"/>
      <c r="P146" s="10" t="s">
        <v>12</v>
      </c>
      <c r="Q146" t="s">
        <v>12</v>
      </c>
      <c r="R146" t="s">
        <v>12</v>
      </c>
      <c r="S146" t="s">
        <v>12</v>
      </c>
      <c r="U146" s="10" t="s">
        <v>12</v>
      </c>
      <c r="V146" t="s">
        <v>12</v>
      </c>
      <c r="W146" t="s">
        <v>12</v>
      </c>
      <c r="X146" t="s">
        <v>12</v>
      </c>
      <c r="Z146" s="10" t="s">
        <v>12</v>
      </c>
      <c r="AA146" t="s">
        <v>12</v>
      </c>
      <c r="AB146" t="s">
        <v>12</v>
      </c>
      <c r="AC146" t="s">
        <v>12</v>
      </c>
      <c r="AE146" s="10" t="s">
        <v>12</v>
      </c>
      <c r="AF146" t="s">
        <v>12</v>
      </c>
      <c r="AG146" t="s">
        <v>12</v>
      </c>
      <c r="AH146" t="s">
        <v>12</v>
      </c>
      <c r="AJ146" s="10" t="s">
        <v>867</v>
      </c>
      <c r="AK146">
        <v>2</v>
      </c>
      <c r="AL146">
        <v>0</v>
      </c>
      <c r="AM146">
        <v>0</v>
      </c>
    </row>
    <row r="147" spans="1:39" x14ac:dyDescent="0.25">
      <c r="A147" s="4" t="s">
        <v>383</v>
      </c>
      <c r="B147" s="4"/>
      <c r="C147" s="4" t="s">
        <v>384</v>
      </c>
      <c r="D147" s="4" t="s">
        <v>385</v>
      </c>
      <c r="E147" s="4" t="s">
        <v>868</v>
      </c>
      <c r="F147" s="4" t="s">
        <v>56</v>
      </c>
      <c r="G147" s="4"/>
      <c r="H147" s="4"/>
      <c r="I147" s="4" t="s">
        <v>57</v>
      </c>
      <c r="J147" s="17">
        <f t="shared" si="1"/>
        <v>0</v>
      </c>
      <c r="K147" s="10" t="s">
        <v>12</v>
      </c>
      <c r="L147" t="s">
        <v>12</v>
      </c>
      <c r="M147" s="2" t="s">
        <v>12</v>
      </c>
      <c r="N147" t="s">
        <v>12</v>
      </c>
      <c r="O147" s="4"/>
      <c r="P147" s="10" t="s">
        <v>12</v>
      </c>
      <c r="Q147" t="s">
        <v>12</v>
      </c>
      <c r="R147" t="s">
        <v>12</v>
      </c>
      <c r="S147" t="s">
        <v>12</v>
      </c>
      <c r="U147" s="10" t="s">
        <v>12</v>
      </c>
      <c r="V147" t="s">
        <v>12</v>
      </c>
      <c r="W147" t="s">
        <v>12</v>
      </c>
      <c r="X147" t="s">
        <v>12</v>
      </c>
      <c r="Z147" s="10" t="s">
        <v>12</v>
      </c>
      <c r="AA147" t="s">
        <v>12</v>
      </c>
      <c r="AB147" t="s">
        <v>12</v>
      </c>
      <c r="AC147" t="s">
        <v>12</v>
      </c>
      <c r="AE147" s="10" t="s">
        <v>612</v>
      </c>
      <c r="AF147">
        <v>187</v>
      </c>
      <c r="AG147">
        <v>0</v>
      </c>
      <c r="AH147">
        <v>0</v>
      </c>
      <c r="AJ147" s="10" t="s">
        <v>841</v>
      </c>
      <c r="AK147" s="16">
        <v>6</v>
      </c>
      <c r="AL147" s="16">
        <v>0</v>
      </c>
      <c r="AM147" s="16">
        <v>0</v>
      </c>
    </row>
    <row r="148" spans="1:39" x14ac:dyDescent="0.25">
      <c r="A148" s="4" t="s">
        <v>386</v>
      </c>
      <c r="B148" s="4"/>
      <c r="C148" s="4" t="s">
        <v>387</v>
      </c>
      <c r="D148" s="4" t="s">
        <v>388</v>
      </c>
      <c r="E148" s="4" t="s">
        <v>869</v>
      </c>
      <c r="F148" s="4" t="s">
        <v>56</v>
      </c>
      <c r="G148" s="4"/>
      <c r="H148" s="4"/>
      <c r="I148" s="4">
        <v>1</v>
      </c>
      <c r="J148" s="17">
        <f t="shared" si="1"/>
        <v>0</v>
      </c>
      <c r="K148" s="10" t="s">
        <v>12</v>
      </c>
      <c r="L148" t="s">
        <v>12</v>
      </c>
      <c r="M148" s="2" t="s">
        <v>12</v>
      </c>
      <c r="N148" t="s">
        <v>12</v>
      </c>
      <c r="O148" s="4"/>
      <c r="P148" s="10" t="s">
        <v>12</v>
      </c>
      <c r="Q148" t="s">
        <v>12</v>
      </c>
      <c r="R148" t="s">
        <v>12</v>
      </c>
      <c r="S148" t="s">
        <v>12</v>
      </c>
      <c r="U148" s="10" t="s">
        <v>12</v>
      </c>
      <c r="V148" t="s">
        <v>12</v>
      </c>
      <c r="W148" t="s">
        <v>12</v>
      </c>
      <c r="X148" t="s">
        <v>12</v>
      </c>
      <c r="Z148" s="10" t="s">
        <v>12</v>
      </c>
      <c r="AA148" t="s">
        <v>12</v>
      </c>
      <c r="AB148" t="s">
        <v>12</v>
      </c>
      <c r="AC148" t="s">
        <v>12</v>
      </c>
      <c r="AE148" s="10" t="s">
        <v>870</v>
      </c>
      <c r="AF148">
        <v>9</v>
      </c>
      <c r="AG148">
        <v>0</v>
      </c>
      <c r="AH148">
        <v>0</v>
      </c>
      <c r="AJ148" s="10" t="s">
        <v>12</v>
      </c>
      <c r="AK148" t="s">
        <v>12</v>
      </c>
      <c r="AL148" t="s">
        <v>12</v>
      </c>
      <c r="AM148" t="s">
        <v>12</v>
      </c>
    </row>
    <row r="149" spans="1:39" x14ac:dyDescent="0.25">
      <c r="A149" s="4" t="s">
        <v>389</v>
      </c>
      <c r="B149" s="4"/>
      <c r="C149" s="4" t="s">
        <v>390</v>
      </c>
      <c r="D149" s="4" t="s">
        <v>391</v>
      </c>
      <c r="E149" s="4" t="s">
        <v>871</v>
      </c>
      <c r="F149" s="4" t="s">
        <v>62</v>
      </c>
      <c r="G149" s="4"/>
      <c r="H149" s="4"/>
      <c r="I149" s="4">
        <v>1</v>
      </c>
      <c r="J149" s="17">
        <f t="shared" si="1"/>
        <v>2</v>
      </c>
      <c r="K149" s="15" t="s">
        <v>872</v>
      </c>
      <c r="L149" s="4">
        <v>8</v>
      </c>
      <c r="M149" s="3">
        <v>1</v>
      </c>
      <c r="N149" s="4">
        <v>2</v>
      </c>
      <c r="O149" t="s">
        <v>662</v>
      </c>
      <c r="P149" s="10" t="s">
        <v>12</v>
      </c>
      <c r="Q149" t="s">
        <v>12</v>
      </c>
      <c r="R149" t="s">
        <v>12</v>
      </c>
      <c r="S149" t="s">
        <v>12</v>
      </c>
      <c r="U149" s="10" t="s">
        <v>12</v>
      </c>
      <c r="V149" t="s">
        <v>12</v>
      </c>
      <c r="W149" t="s">
        <v>12</v>
      </c>
      <c r="X149" t="s">
        <v>12</v>
      </c>
      <c r="Z149" s="10" t="s">
        <v>12</v>
      </c>
      <c r="AA149" t="s">
        <v>12</v>
      </c>
      <c r="AB149" t="s">
        <v>12</v>
      </c>
      <c r="AC149" t="s">
        <v>12</v>
      </c>
      <c r="AE149" s="10" t="s">
        <v>12</v>
      </c>
      <c r="AF149" t="s">
        <v>12</v>
      </c>
      <c r="AG149" t="s">
        <v>12</v>
      </c>
      <c r="AH149" t="s">
        <v>12</v>
      </c>
      <c r="AJ149" s="10" t="s">
        <v>12</v>
      </c>
      <c r="AK149" t="s">
        <v>12</v>
      </c>
      <c r="AL149" t="s">
        <v>12</v>
      </c>
      <c r="AM149" t="s">
        <v>12</v>
      </c>
    </row>
    <row r="150" spans="1:39" x14ac:dyDescent="0.25">
      <c r="A150" s="4" t="s">
        <v>392</v>
      </c>
      <c r="B150" s="4"/>
      <c r="C150" s="4" t="s">
        <v>393</v>
      </c>
      <c r="D150" s="4" t="s">
        <v>100</v>
      </c>
      <c r="E150" s="4" t="s">
        <v>394</v>
      </c>
      <c r="F150" s="4" t="s">
        <v>74</v>
      </c>
      <c r="G150" s="4" t="s">
        <v>772</v>
      </c>
      <c r="H150" s="4" t="s">
        <v>884</v>
      </c>
      <c r="I150" s="4">
        <v>1</v>
      </c>
      <c r="J150" s="17">
        <f t="shared" si="1"/>
        <v>0</v>
      </c>
      <c r="K150" t="s">
        <v>623</v>
      </c>
      <c r="L150" s="4">
        <v>47</v>
      </c>
      <c r="M150" s="4">
        <v>1</v>
      </c>
      <c r="N150" s="18">
        <v>0</v>
      </c>
      <c r="O150" s="4" t="s">
        <v>665</v>
      </c>
      <c r="P150" s="10" t="s">
        <v>12</v>
      </c>
      <c r="Q150" t="s">
        <v>12</v>
      </c>
      <c r="R150" t="s">
        <v>12</v>
      </c>
      <c r="S150" t="s">
        <v>12</v>
      </c>
      <c r="U150" s="10" t="s">
        <v>12</v>
      </c>
      <c r="V150" t="s">
        <v>12</v>
      </c>
      <c r="W150" t="s">
        <v>12</v>
      </c>
      <c r="X150" t="s">
        <v>12</v>
      </c>
      <c r="Z150" s="10" t="s">
        <v>12</v>
      </c>
      <c r="AA150" t="s">
        <v>12</v>
      </c>
      <c r="AB150" t="s">
        <v>12</v>
      </c>
      <c r="AC150" t="s">
        <v>12</v>
      </c>
      <c r="AE150" s="10" t="s">
        <v>12</v>
      </c>
      <c r="AF150" t="s">
        <v>12</v>
      </c>
      <c r="AG150" t="s">
        <v>12</v>
      </c>
      <c r="AH150" t="s">
        <v>12</v>
      </c>
      <c r="AJ150" s="10" t="s">
        <v>12</v>
      </c>
      <c r="AK150" t="s">
        <v>12</v>
      </c>
      <c r="AL150" t="s">
        <v>12</v>
      </c>
      <c r="AM150" t="s">
        <v>12</v>
      </c>
    </row>
    <row r="151" spans="1:39" x14ac:dyDescent="0.25">
      <c r="A151" s="4" t="s">
        <v>392</v>
      </c>
      <c r="B151" s="4"/>
      <c r="C151" s="4" t="s">
        <v>393</v>
      </c>
      <c r="D151" s="4" t="s">
        <v>100</v>
      </c>
      <c r="E151" s="4" t="s">
        <v>394</v>
      </c>
      <c r="F151" s="4" t="s">
        <v>74</v>
      </c>
      <c r="G151" s="4" t="s">
        <v>772</v>
      </c>
      <c r="H151" s="4" t="s">
        <v>884</v>
      </c>
      <c r="I151" s="4">
        <v>1</v>
      </c>
      <c r="J151" s="17">
        <f t="shared" si="1"/>
        <v>0</v>
      </c>
      <c r="K151" t="s">
        <v>835</v>
      </c>
      <c r="L151" s="4">
        <v>464</v>
      </c>
      <c r="M151" s="4">
        <v>1</v>
      </c>
      <c r="N151" s="18">
        <v>0</v>
      </c>
      <c r="O151" s="4" t="s">
        <v>665</v>
      </c>
      <c r="P151" s="10" t="s">
        <v>12</v>
      </c>
      <c r="Q151" t="s">
        <v>12</v>
      </c>
      <c r="R151" t="s">
        <v>12</v>
      </c>
      <c r="S151" t="s">
        <v>12</v>
      </c>
      <c r="U151" s="10" t="s">
        <v>12</v>
      </c>
      <c r="V151" t="s">
        <v>12</v>
      </c>
      <c r="W151" t="s">
        <v>12</v>
      </c>
      <c r="X151" t="s">
        <v>12</v>
      </c>
      <c r="Z151" s="10" t="s">
        <v>12</v>
      </c>
      <c r="AA151" t="s">
        <v>12</v>
      </c>
      <c r="AB151" t="s">
        <v>12</v>
      </c>
      <c r="AC151" t="s">
        <v>12</v>
      </c>
      <c r="AE151" s="10" t="s">
        <v>12</v>
      </c>
      <c r="AF151" t="s">
        <v>12</v>
      </c>
      <c r="AG151" t="s">
        <v>12</v>
      </c>
      <c r="AH151" t="s">
        <v>12</v>
      </c>
      <c r="AJ151" s="10" t="s">
        <v>12</v>
      </c>
      <c r="AK151" t="s">
        <v>12</v>
      </c>
      <c r="AL151" t="s">
        <v>12</v>
      </c>
      <c r="AM151" t="s">
        <v>12</v>
      </c>
    </row>
    <row r="152" spans="1:39" x14ac:dyDescent="0.25">
      <c r="A152" s="4" t="s">
        <v>392</v>
      </c>
      <c r="B152" s="4"/>
      <c r="C152" s="4" t="s">
        <v>393</v>
      </c>
      <c r="D152" s="4" t="s">
        <v>100</v>
      </c>
      <c r="E152" s="4" t="s">
        <v>394</v>
      </c>
      <c r="F152" s="4" t="s">
        <v>74</v>
      </c>
      <c r="G152" s="4" t="s">
        <v>772</v>
      </c>
      <c r="H152" s="4" t="s">
        <v>884</v>
      </c>
      <c r="I152" s="4">
        <v>1</v>
      </c>
      <c r="J152" s="17">
        <f t="shared" si="1"/>
        <v>0</v>
      </c>
      <c r="K152" t="s">
        <v>836</v>
      </c>
      <c r="L152" s="4">
        <v>16</v>
      </c>
      <c r="M152" s="4">
        <v>1</v>
      </c>
      <c r="N152" s="18">
        <v>0</v>
      </c>
      <c r="O152" s="4" t="s">
        <v>665</v>
      </c>
      <c r="P152" s="10" t="s">
        <v>12</v>
      </c>
      <c r="Q152" t="s">
        <v>12</v>
      </c>
      <c r="R152" t="s">
        <v>12</v>
      </c>
      <c r="S152" t="s">
        <v>12</v>
      </c>
      <c r="U152" s="10" t="s">
        <v>12</v>
      </c>
      <c r="V152" t="s">
        <v>12</v>
      </c>
      <c r="W152" t="s">
        <v>12</v>
      </c>
      <c r="X152" t="s">
        <v>12</v>
      </c>
      <c r="Z152" s="10" t="s">
        <v>12</v>
      </c>
      <c r="AA152" t="s">
        <v>12</v>
      </c>
      <c r="AB152" t="s">
        <v>12</v>
      </c>
      <c r="AC152" t="s">
        <v>12</v>
      </c>
      <c r="AE152" s="10" t="s">
        <v>12</v>
      </c>
      <c r="AF152" t="s">
        <v>12</v>
      </c>
      <c r="AG152" t="s">
        <v>12</v>
      </c>
      <c r="AH152" t="s">
        <v>12</v>
      </c>
      <c r="AJ152" s="10" t="s">
        <v>12</v>
      </c>
      <c r="AK152" t="s">
        <v>12</v>
      </c>
      <c r="AL152" t="s">
        <v>12</v>
      </c>
      <c r="AM152" t="s">
        <v>12</v>
      </c>
    </row>
    <row r="153" spans="1:39" x14ac:dyDescent="0.25">
      <c r="A153" s="4" t="s">
        <v>392</v>
      </c>
      <c r="B153" s="4"/>
      <c r="C153" s="4" t="s">
        <v>393</v>
      </c>
      <c r="D153" s="4" t="s">
        <v>100</v>
      </c>
      <c r="E153" s="4" t="s">
        <v>394</v>
      </c>
      <c r="F153" s="4" t="s">
        <v>74</v>
      </c>
      <c r="G153" s="4" t="s">
        <v>772</v>
      </c>
      <c r="H153" s="4" t="s">
        <v>884</v>
      </c>
      <c r="I153" s="4">
        <v>1</v>
      </c>
      <c r="J153" s="17">
        <f t="shared" si="1"/>
        <v>0</v>
      </c>
      <c r="K153" t="s">
        <v>838</v>
      </c>
      <c r="L153" s="4">
        <v>86</v>
      </c>
      <c r="M153" s="4">
        <v>1</v>
      </c>
      <c r="N153" s="18">
        <v>0</v>
      </c>
      <c r="O153" s="4" t="s">
        <v>665</v>
      </c>
      <c r="P153" s="10" t="s">
        <v>12</v>
      </c>
      <c r="Q153" t="s">
        <v>12</v>
      </c>
      <c r="R153" t="s">
        <v>12</v>
      </c>
      <c r="S153" t="s">
        <v>12</v>
      </c>
      <c r="U153" s="10" t="s">
        <v>12</v>
      </c>
      <c r="V153" t="s">
        <v>12</v>
      </c>
      <c r="W153" t="s">
        <v>12</v>
      </c>
      <c r="X153" t="s">
        <v>12</v>
      </c>
      <c r="Z153" s="10" t="s">
        <v>12</v>
      </c>
      <c r="AA153" t="s">
        <v>12</v>
      </c>
      <c r="AB153" t="s">
        <v>12</v>
      </c>
      <c r="AC153" t="s">
        <v>12</v>
      </c>
      <c r="AE153" s="10" t="s">
        <v>12</v>
      </c>
      <c r="AF153" t="s">
        <v>12</v>
      </c>
      <c r="AG153" t="s">
        <v>12</v>
      </c>
      <c r="AH153" t="s">
        <v>12</v>
      </c>
      <c r="AJ153" s="10" t="s">
        <v>12</v>
      </c>
      <c r="AK153" t="s">
        <v>12</v>
      </c>
      <c r="AL153" t="s">
        <v>12</v>
      </c>
      <c r="AM153" t="s">
        <v>12</v>
      </c>
    </row>
    <row r="154" spans="1:39" x14ac:dyDescent="0.25">
      <c r="A154" s="4" t="s">
        <v>392</v>
      </c>
      <c r="B154" s="4"/>
      <c r="C154" s="4" t="s">
        <v>393</v>
      </c>
      <c r="D154" s="4" t="s">
        <v>100</v>
      </c>
      <c r="E154" s="4" t="s">
        <v>394</v>
      </c>
      <c r="F154" s="4" t="s">
        <v>74</v>
      </c>
      <c r="G154" s="4" t="s">
        <v>772</v>
      </c>
      <c r="H154" s="4" t="s">
        <v>884</v>
      </c>
      <c r="I154" s="4">
        <v>1</v>
      </c>
      <c r="J154" s="17">
        <f t="shared" si="1"/>
        <v>0</v>
      </c>
      <c r="K154" t="s">
        <v>839</v>
      </c>
      <c r="L154" s="4">
        <v>154</v>
      </c>
      <c r="M154" s="4">
        <v>1</v>
      </c>
      <c r="N154" s="18">
        <v>0</v>
      </c>
      <c r="O154" s="4" t="s">
        <v>665</v>
      </c>
      <c r="P154" s="10" t="s">
        <v>12</v>
      </c>
      <c r="Q154" t="s">
        <v>12</v>
      </c>
      <c r="R154" t="s">
        <v>12</v>
      </c>
      <c r="S154" t="s">
        <v>12</v>
      </c>
      <c r="U154" s="10" t="s">
        <v>12</v>
      </c>
      <c r="V154" t="s">
        <v>12</v>
      </c>
      <c r="W154" t="s">
        <v>12</v>
      </c>
      <c r="X154" t="s">
        <v>12</v>
      </c>
      <c r="Z154" s="10" t="s">
        <v>12</v>
      </c>
      <c r="AA154" t="s">
        <v>12</v>
      </c>
      <c r="AB154" t="s">
        <v>12</v>
      </c>
      <c r="AC154" t="s">
        <v>12</v>
      </c>
      <c r="AE154" s="10" t="s">
        <v>12</v>
      </c>
      <c r="AF154" t="s">
        <v>12</v>
      </c>
      <c r="AG154" t="s">
        <v>12</v>
      </c>
      <c r="AH154" t="s">
        <v>12</v>
      </c>
      <c r="AJ154" s="10" t="s">
        <v>12</v>
      </c>
      <c r="AK154" t="s">
        <v>12</v>
      </c>
      <c r="AL154" t="s">
        <v>12</v>
      </c>
      <c r="AM154" t="s">
        <v>12</v>
      </c>
    </row>
    <row r="155" spans="1:39" x14ac:dyDescent="0.25">
      <c r="A155" s="4" t="s">
        <v>392</v>
      </c>
      <c r="B155" s="4"/>
      <c r="C155" s="4" t="s">
        <v>393</v>
      </c>
      <c r="D155" s="4" t="s">
        <v>100</v>
      </c>
      <c r="E155" s="4" t="s">
        <v>394</v>
      </c>
      <c r="F155" s="4" t="s">
        <v>74</v>
      </c>
      <c r="G155" s="4" t="s">
        <v>772</v>
      </c>
      <c r="H155" s="4" t="s">
        <v>884</v>
      </c>
      <c r="I155" s="4" t="s">
        <v>584</v>
      </c>
      <c r="J155" s="17">
        <f t="shared" si="1"/>
        <v>0</v>
      </c>
      <c r="K155" s="10" t="s">
        <v>782</v>
      </c>
      <c r="L155">
        <v>17</v>
      </c>
      <c r="M155" s="1">
        <v>0</v>
      </c>
      <c r="N155">
        <v>0</v>
      </c>
      <c r="O155" t="s">
        <v>81</v>
      </c>
      <c r="P155" s="10" t="s">
        <v>12</v>
      </c>
      <c r="Q155" t="s">
        <v>12</v>
      </c>
      <c r="R155" t="s">
        <v>12</v>
      </c>
      <c r="S155" t="s">
        <v>12</v>
      </c>
      <c r="U155" s="10" t="s">
        <v>12</v>
      </c>
      <c r="V155" t="s">
        <v>12</v>
      </c>
      <c r="W155" t="s">
        <v>12</v>
      </c>
      <c r="X155" t="s">
        <v>12</v>
      </c>
      <c r="Z155" s="10" t="s">
        <v>12</v>
      </c>
      <c r="AA155" t="s">
        <v>12</v>
      </c>
      <c r="AB155" t="s">
        <v>12</v>
      </c>
      <c r="AC155" t="s">
        <v>12</v>
      </c>
      <c r="AE155" s="10" t="s">
        <v>12</v>
      </c>
      <c r="AF155" t="s">
        <v>12</v>
      </c>
      <c r="AG155" t="s">
        <v>12</v>
      </c>
      <c r="AH155" t="s">
        <v>12</v>
      </c>
      <c r="AJ155" s="10" t="s">
        <v>12</v>
      </c>
      <c r="AK155" t="s">
        <v>12</v>
      </c>
      <c r="AL155" t="s">
        <v>12</v>
      </c>
      <c r="AM155" t="s">
        <v>12</v>
      </c>
    </row>
    <row r="156" spans="1:39" x14ac:dyDescent="0.25">
      <c r="A156" s="4" t="s">
        <v>395</v>
      </c>
      <c r="B156" s="4"/>
      <c r="C156" s="4" t="s">
        <v>396</v>
      </c>
      <c r="D156" s="4" t="s">
        <v>397</v>
      </c>
      <c r="E156" s="4" t="s">
        <v>873</v>
      </c>
      <c r="F156" s="4" t="s">
        <v>49</v>
      </c>
      <c r="G156" s="4" t="s">
        <v>883</v>
      </c>
      <c r="H156" s="4" t="s">
        <v>12</v>
      </c>
      <c r="I156" s="4" t="s">
        <v>299</v>
      </c>
      <c r="J156" s="17">
        <f t="shared" si="1"/>
        <v>3</v>
      </c>
      <c r="K156" s="10" t="s">
        <v>792</v>
      </c>
      <c r="L156">
        <v>10</v>
      </c>
      <c r="M156" s="1">
        <v>1</v>
      </c>
      <c r="N156">
        <v>3</v>
      </c>
      <c r="O156" t="s">
        <v>661</v>
      </c>
      <c r="P156" s="10" t="s">
        <v>12</v>
      </c>
      <c r="Q156" t="s">
        <v>12</v>
      </c>
      <c r="R156" t="s">
        <v>12</v>
      </c>
      <c r="S156" t="s">
        <v>12</v>
      </c>
      <c r="U156" s="10" t="s">
        <v>12</v>
      </c>
      <c r="V156" t="s">
        <v>12</v>
      </c>
      <c r="W156" t="s">
        <v>12</v>
      </c>
      <c r="X156" t="s">
        <v>12</v>
      </c>
      <c r="Z156" s="10" t="s">
        <v>12</v>
      </c>
      <c r="AA156" t="s">
        <v>12</v>
      </c>
      <c r="AB156" t="s">
        <v>12</v>
      </c>
      <c r="AC156" t="s">
        <v>12</v>
      </c>
      <c r="AE156" s="10" t="s">
        <v>12</v>
      </c>
      <c r="AF156" t="s">
        <v>12</v>
      </c>
      <c r="AG156" t="s">
        <v>12</v>
      </c>
      <c r="AH156" t="s">
        <v>12</v>
      </c>
      <c r="AJ156" s="10" t="s">
        <v>12</v>
      </c>
      <c r="AK156" t="s">
        <v>12</v>
      </c>
      <c r="AL156" t="s">
        <v>12</v>
      </c>
      <c r="AM156" t="s">
        <v>12</v>
      </c>
    </row>
    <row r="157" spans="1:39" x14ac:dyDescent="0.25">
      <c r="A157" s="4" t="s">
        <v>398</v>
      </c>
      <c r="B157" s="4" t="s">
        <v>399</v>
      </c>
      <c r="C157" s="4" t="s">
        <v>400</v>
      </c>
      <c r="D157" s="4" t="s">
        <v>401</v>
      </c>
      <c r="E157" s="4" t="s">
        <v>874</v>
      </c>
      <c r="F157" s="4" t="s">
        <v>62</v>
      </c>
      <c r="G157" s="4" t="s">
        <v>812</v>
      </c>
      <c r="H157" s="4" t="s">
        <v>12</v>
      </c>
      <c r="I157" s="4">
        <v>1</v>
      </c>
      <c r="J157" s="17">
        <f t="shared" ref="J157:J236" si="5">SUM(N157,X157,AH157)</f>
        <v>3</v>
      </c>
      <c r="K157" s="15" t="s">
        <v>816</v>
      </c>
      <c r="L157" s="4">
        <v>362</v>
      </c>
      <c r="M157" s="3">
        <v>1</v>
      </c>
      <c r="N157" s="16">
        <v>3</v>
      </c>
      <c r="O157" t="s">
        <v>875</v>
      </c>
      <c r="P157" s="10" t="s">
        <v>12</v>
      </c>
      <c r="Q157" t="s">
        <v>12</v>
      </c>
      <c r="R157" t="s">
        <v>12</v>
      </c>
      <c r="S157" t="s">
        <v>12</v>
      </c>
      <c r="U157" s="10" t="s">
        <v>12</v>
      </c>
      <c r="V157" t="s">
        <v>12</v>
      </c>
      <c r="W157" t="s">
        <v>12</v>
      </c>
      <c r="X157" t="s">
        <v>12</v>
      </c>
      <c r="Z157" s="10" t="s">
        <v>12</v>
      </c>
      <c r="AA157" t="s">
        <v>12</v>
      </c>
      <c r="AB157" t="s">
        <v>12</v>
      </c>
      <c r="AC157" t="s">
        <v>12</v>
      </c>
      <c r="AE157" s="10" t="s">
        <v>12</v>
      </c>
      <c r="AF157" t="s">
        <v>12</v>
      </c>
      <c r="AG157" t="s">
        <v>12</v>
      </c>
      <c r="AH157" t="s">
        <v>12</v>
      </c>
      <c r="AJ157" s="10" t="s">
        <v>12</v>
      </c>
      <c r="AK157" t="s">
        <v>12</v>
      </c>
      <c r="AL157" t="s">
        <v>12</v>
      </c>
      <c r="AM157" t="s">
        <v>12</v>
      </c>
    </row>
    <row r="158" spans="1:39" x14ac:dyDescent="0.25">
      <c r="A158" s="4" t="s">
        <v>398</v>
      </c>
      <c r="B158" s="4" t="s">
        <v>399</v>
      </c>
      <c r="C158" s="4" t="s">
        <v>400</v>
      </c>
      <c r="D158" s="4" t="s">
        <v>401</v>
      </c>
      <c r="E158" s="4" t="s">
        <v>874</v>
      </c>
      <c r="F158" s="4" t="s">
        <v>105</v>
      </c>
      <c r="G158" s="4" t="s">
        <v>812</v>
      </c>
      <c r="H158" s="4" t="s">
        <v>12</v>
      </c>
      <c r="I158" s="4">
        <v>1</v>
      </c>
      <c r="J158" s="17">
        <f t="shared" si="5"/>
        <v>3</v>
      </c>
      <c r="K158" s="15" t="s">
        <v>817</v>
      </c>
      <c r="L158" s="4">
        <v>7</v>
      </c>
      <c r="M158" s="3">
        <v>1</v>
      </c>
      <c r="N158" s="16">
        <v>3</v>
      </c>
      <c r="O158" t="s">
        <v>875</v>
      </c>
      <c r="P158" s="10" t="s">
        <v>12</v>
      </c>
      <c r="Q158" t="s">
        <v>12</v>
      </c>
      <c r="R158" t="s">
        <v>12</v>
      </c>
      <c r="S158" t="s">
        <v>12</v>
      </c>
      <c r="U158" s="10" t="s">
        <v>12</v>
      </c>
      <c r="V158" t="s">
        <v>12</v>
      </c>
      <c r="W158" t="s">
        <v>12</v>
      </c>
      <c r="X158" t="s">
        <v>12</v>
      </c>
      <c r="Z158" s="10" t="s">
        <v>12</v>
      </c>
      <c r="AA158" t="s">
        <v>12</v>
      </c>
      <c r="AB158" t="s">
        <v>12</v>
      </c>
      <c r="AC158" t="s">
        <v>12</v>
      </c>
      <c r="AE158" s="10" t="s">
        <v>12</v>
      </c>
      <c r="AF158" t="s">
        <v>12</v>
      </c>
      <c r="AG158" t="s">
        <v>12</v>
      </c>
      <c r="AH158" t="s">
        <v>12</v>
      </c>
      <c r="AJ158" s="10" t="s">
        <v>12</v>
      </c>
      <c r="AK158" t="s">
        <v>12</v>
      </c>
      <c r="AL158" t="s">
        <v>12</v>
      </c>
      <c r="AM158" t="s">
        <v>12</v>
      </c>
    </row>
    <row r="159" spans="1:39" x14ac:dyDescent="0.25">
      <c r="A159" s="4" t="s">
        <v>398</v>
      </c>
      <c r="B159" s="4" t="s">
        <v>399</v>
      </c>
      <c r="C159" s="4" t="s">
        <v>400</v>
      </c>
      <c r="D159" s="4" t="s">
        <v>401</v>
      </c>
      <c r="E159" s="4" t="s">
        <v>874</v>
      </c>
      <c r="F159" s="4" t="s">
        <v>815</v>
      </c>
      <c r="G159" s="4" t="s">
        <v>812</v>
      </c>
      <c r="H159" s="4" t="s">
        <v>12</v>
      </c>
      <c r="I159" s="4">
        <v>1</v>
      </c>
      <c r="J159" s="17">
        <f t="shared" si="5"/>
        <v>3</v>
      </c>
      <c r="K159" s="15" t="s">
        <v>818</v>
      </c>
      <c r="L159" s="4">
        <v>7</v>
      </c>
      <c r="M159" s="3">
        <v>1</v>
      </c>
      <c r="N159" s="16">
        <v>3</v>
      </c>
      <c r="O159" t="s">
        <v>875</v>
      </c>
      <c r="P159" s="10" t="s">
        <v>12</v>
      </c>
      <c r="Q159" t="s">
        <v>12</v>
      </c>
      <c r="R159" t="s">
        <v>12</v>
      </c>
      <c r="S159" t="s">
        <v>12</v>
      </c>
      <c r="U159" s="10" t="s">
        <v>12</v>
      </c>
      <c r="V159" t="s">
        <v>12</v>
      </c>
      <c r="W159" t="s">
        <v>12</v>
      </c>
      <c r="X159" t="s">
        <v>12</v>
      </c>
      <c r="Z159" s="10" t="s">
        <v>12</v>
      </c>
      <c r="AA159" t="s">
        <v>12</v>
      </c>
      <c r="AB159" t="s">
        <v>12</v>
      </c>
      <c r="AC159" t="s">
        <v>12</v>
      </c>
      <c r="AE159" s="10" t="s">
        <v>12</v>
      </c>
      <c r="AF159" t="s">
        <v>12</v>
      </c>
      <c r="AG159" t="s">
        <v>12</v>
      </c>
      <c r="AH159" t="s">
        <v>12</v>
      </c>
      <c r="AJ159" s="10" t="s">
        <v>12</v>
      </c>
      <c r="AK159" t="s">
        <v>12</v>
      </c>
      <c r="AL159" t="s">
        <v>12</v>
      </c>
      <c r="AM159" t="s">
        <v>12</v>
      </c>
    </row>
    <row r="160" spans="1:39" x14ac:dyDescent="0.25">
      <c r="A160" s="4" t="s">
        <v>64</v>
      </c>
      <c r="B160" s="4" t="s">
        <v>402</v>
      </c>
      <c r="C160" s="4" t="s">
        <v>403</v>
      </c>
      <c r="D160" s="4" t="s">
        <v>404</v>
      </c>
      <c r="E160" s="4" t="s">
        <v>876</v>
      </c>
      <c r="F160" s="4" t="s">
        <v>68</v>
      </c>
      <c r="G160" s="4"/>
      <c r="H160" s="4"/>
      <c r="I160" s="4" t="s">
        <v>286</v>
      </c>
      <c r="J160" s="17">
        <f t="shared" si="5"/>
        <v>0</v>
      </c>
      <c r="K160" s="10" t="s">
        <v>12</v>
      </c>
      <c r="L160" t="s">
        <v>12</v>
      </c>
      <c r="M160" s="2" t="s">
        <v>12</v>
      </c>
      <c r="N160" t="s">
        <v>12</v>
      </c>
      <c r="O160" s="4"/>
      <c r="P160" s="10" t="s">
        <v>12</v>
      </c>
      <c r="Q160" t="s">
        <v>12</v>
      </c>
      <c r="R160" t="s">
        <v>12</v>
      </c>
      <c r="S160" t="s">
        <v>12</v>
      </c>
      <c r="U160" s="10" t="s">
        <v>12</v>
      </c>
      <c r="V160" t="s">
        <v>12</v>
      </c>
      <c r="W160" t="s">
        <v>12</v>
      </c>
      <c r="X160" t="s">
        <v>12</v>
      </c>
      <c r="Z160" s="10" t="s">
        <v>12</v>
      </c>
      <c r="AA160" t="s">
        <v>12</v>
      </c>
      <c r="AB160" t="s">
        <v>12</v>
      </c>
      <c r="AC160" t="s">
        <v>12</v>
      </c>
      <c r="AE160" s="10" t="s">
        <v>777</v>
      </c>
      <c r="AF160">
        <v>4</v>
      </c>
      <c r="AG160">
        <v>0</v>
      </c>
      <c r="AH160">
        <v>0</v>
      </c>
      <c r="AJ160" s="10" t="s">
        <v>12</v>
      </c>
      <c r="AK160" t="s">
        <v>12</v>
      </c>
      <c r="AL160" t="s">
        <v>12</v>
      </c>
      <c r="AM160" t="s">
        <v>12</v>
      </c>
    </row>
    <row r="161" spans="1:39" x14ac:dyDescent="0.25">
      <c r="A161" s="4" t="s">
        <v>294</v>
      </c>
      <c r="B161" s="4"/>
      <c r="C161" s="4" t="s">
        <v>405</v>
      </c>
      <c r="D161" s="4" t="s">
        <v>406</v>
      </c>
      <c r="E161" s="4" t="s">
        <v>877</v>
      </c>
      <c r="F161" s="4" t="s">
        <v>62</v>
      </c>
      <c r="G161" s="4"/>
      <c r="H161" s="4"/>
      <c r="I161" s="4">
        <v>1</v>
      </c>
      <c r="J161" s="17">
        <f t="shared" si="5"/>
        <v>0</v>
      </c>
      <c r="K161" s="10" t="s">
        <v>12</v>
      </c>
      <c r="L161" t="s">
        <v>12</v>
      </c>
      <c r="M161" s="2" t="s">
        <v>12</v>
      </c>
      <c r="N161" t="s">
        <v>12</v>
      </c>
      <c r="O161" s="4"/>
      <c r="P161" s="10" t="s">
        <v>12</v>
      </c>
      <c r="Q161" t="s">
        <v>12</v>
      </c>
      <c r="R161" t="s">
        <v>12</v>
      </c>
      <c r="S161" t="s">
        <v>12</v>
      </c>
      <c r="U161" s="10" t="s">
        <v>12</v>
      </c>
      <c r="V161" t="s">
        <v>12</v>
      </c>
      <c r="W161" t="s">
        <v>12</v>
      </c>
      <c r="X161" t="s">
        <v>12</v>
      </c>
      <c r="Z161" s="10" t="s">
        <v>12</v>
      </c>
      <c r="AA161" t="s">
        <v>12</v>
      </c>
      <c r="AB161" t="s">
        <v>12</v>
      </c>
      <c r="AC161" t="s">
        <v>12</v>
      </c>
      <c r="AE161" s="10" t="s">
        <v>878</v>
      </c>
      <c r="AF161">
        <v>245</v>
      </c>
      <c r="AG161">
        <v>0</v>
      </c>
      <c r="AH161">
        <v>0</v>
      </c>
      <c r="AJ161" s="10" t="s">
        <v>12</v>
      </c>
      <c r="AK161" t="s">
        <v>12</v>
      </c>
      <c r="AL161" t="s">
        <v>12</v>
      </c>
      <c r="AM161" t="s">
        <v>12</v>
      </c>
    </row>
    <row r="162" spans="1:39" x14ac:dyDescent="0.25">
      <c r="A162" s="4" t="s">
        <v>407</v>
      </c>
      <c r="B162" s="4"/>
      <c r="C162" s="4" t="s">
        <v>408</v>
      </c>
      <c r="D162" s="4" t="s">
        <v>409</v>
      </c>
      <c r="E162" s="4" t="s">
        <v>879</v>
      </c>
      <c r="F162" s="4" t="s">
        <v>825</v>
      </c>
      <c r="G162" s="4"/>
      <c r="H162" s="4"/>
      <c r="I162" s="4">
        <v>1</v>
      </c>
      <c r="J162" s="17">
        <f t="shared" si="5"/>
        <v>0</v>
      </c>
      <c r="K162" s="10" t="s">
        <v>12</v>
      </c>
      <c r="L162" t="s">
        <v>12</v>
      </c>
      <c r="M162" s="2" t="s">
        <v>12</v>
      </c>
      <c r="N162" t="s">
        <v>12</v>
      </c>
      <c r="O162" s="4"/>
      <c r="P162" s="10" t="s">
        <v>12</v>
      </c>
      <c r="Q162" t="s">
        <v>12</v>
      </c>
      <c r="R162" t="s">
        <v>12</v>
      </c>
      <c r="S162" t="s">
        <v>12</v>
      </c>
      <c r="U162" s="10" t="s">
        <v>12</v>
      </c>
      <c r="V162" t="s">
        <v>12</v>
      </c>
      <c r="W162" t="s">
        <v>12</v>
      </c>
      <c r="X162" t="s">
        <v>12</v>
      </c>
      <c r="Z162" s="10" t="s">
        <v>12</v>
      </c>
      <c r="AA162" t="s">
        <v>12</v>
      </c>
      <c r="AB162" t="s">
        <v>12</v>
      </c>
      <c r="AC162" t="s">
        <v>12</v>
      </c>
      <c r="AE162" s="10" t="s">
        <v>880</v>
      </c>
      <c r="AF162">
        <v>62</v>
      </c>
      <c r="AG162">
        <v>0</v>
      </c>
      <c r="AH162">
        <v>0</v>
      </c>
      <c r="AJ162" s="10" t="s">
        <v>12</v>
      </c>
      <c r="AK162" t="s">
        <v>12</v>
      </c>
      <c r="AL162" t="s">
        <v>12</v>
      </c>
      <c r="AM162" t="s">
        <v>12</v>
      </c>
    </row>
    <row r="163" spans="1:39" x14ac:dyDescent="0.25">
      <c r="A163" s="4" t="s">
        <v>410</v>
      </c>
      <c r="B163" s="4" t="s">
        <v>411</v>
      </c>
      <c r="C163" s="4" t="s">
        <v>412</v>
      </c>
      <c r="D163" s="4" t="s">
        <v>413</v>
      </c>
      <c r="E163" s="4" t="s">
        <v>881</v>
      </c>
      <c r="F163" s="4" t="s">
        <v>56</v>
      </c>
      <c r="G163" s="4"/>
      <c r="H163" s="4"/>
      <c r="I163" s="4" t="s">
        <v>598</v>
      </c>
      <c r="J163" s="17">
        <f t="shared" si="5"/>
        <v>0</v>
      </c>
      <c r="K163" s="10" t="s">
        <v>12</v>
      </c>
      <c r="L163" t="s">
        <v>12</v>
      </c>
      <c r="M163" s="2" t="s">
        <v>12</v>
      </c>
      <c r="N163" t="s">
        <v>12</v>
      </c>
      <c r="O163" s="4"/>
      <c r="P163" s="10" t="s">
        <v>12</v>
      </c>
      <c r="Q163" t="s">
        <v>12</v>
      </c>
      <c r="R163" t="s">
        <v>12</v>
      </c>
      <c r="S163" t="s">
        <v>12</v>
      </c>
      <c r="U163" s="10" t="s">
        <v>12</v>
      </c>
      <c r="V163" t="s">
        <v>12</v>
      </c>
      <c r="W163" t="s">
        <v>12</v>
      </c>
      <c r="X163" t="s">
        <v>12</v>
      </c>
      <c r="Z163" s="10" t="s">
        <v>12</v>
      </c>
      <c r="AA163" t="s">
        <v>12</v>
      </c>
      <c r="AB163" t="s">
        <v>12</v>
      </c>
      <c r="AC163" t="s">
        <v>12</v>
      </c>
      <c r="AE163" s="10" t="s">
        <v>882</v>
      </c>
      <c r="AF163">
        <v>16</v>
      </c>
      <c r="AG163">
        <v>0</v>
      </c>
      <c r="AH163">
        <v>0</v>
      </c>
      <c r="AJ163" s="10" t="s">
        <v>12</v>
      </c>
      <c r="AK163" t="s">
        <v>12</v>
      </c>
      <c r="AL163" t="s">
        <v>12</v>
      </c>
      <c r="AM163" t="s">
        <v>12</v>
      </c>
    </row>
    <row r="164" spans="1:39" x14ac:dyDescent="0.25">
      <c r="A164" s="4" t="s">
        <v>414</v>
      </c>
      <c r="B164" s="4"/>
      <c r="C164" s="4" t="s">
        <v>886</v>
      </c>
      <c r="D164" s="4" t="s">
        <v>887</v>
      </c>
      <c r="E164" s="4" t="s">
        <v>888</v>
      </c>
      <c r="F164" s="4" t="s">
        <v>77</v>
      </c>
      <c r="G164" s="4" t="s">
        <v>75</v>
      </c>
      <c r="H164" s="4" t="s">
        <v>12</v>
      </c>
      <c r="I164" t="s">
        <v>72</v>
      </c>
      <c r="J164" s="17">
        <f t="shared" si="5"/>
        <v>1</v>
      </c>
      <c r="K164" s="10" t="s">
        <v>609</v>
      </c>
      <c r="L164">
        <v>87</v>
      </c>
      <c r="M164" s="1">
        <v>1</v>
      </c>
      <c r="N164">
        <v>1</v>
      </c>
      <c r="O164" t="s">
        <v>78</v>
      </c>
      <c r="P164" s="10" t="s">
        <v>12</v>
      </c>
      <c r="Q164" t="s">
        <v>12</v>
      </c>
      <c r="R164" t="s">
        <v>12</v>
      </c>
      <c r="S164" t="s">
        <v>12</v>
      </c>
      <c r="U164" s="10" t="s">
        <v>12</v>
      </c>
      <c r="V164" t="s">
        <v>12</v>
      </c>
      <c r="W164" t="s">
        <v>12</v>
      </c>
      <c r="X164" t="s">
        <v>12</v>
      </c>
      <c r="Z164" s="10" t="s">
        <v>12</v>
      </c>
      <c r="AA164" t="s">
        <v>12</v>
      </c>
      <c r="AB164" t="s">
        <v>12</v>
      </c>
      <c r="AC164" t="s">
        <v>12</v>
      </c>
      <c r="AE164" s="10" t="s">
        <v>12</v>
      </c>
      <c r="AF164" t="s">
        <v>12</v>
      </c>
      <c r="AG164" t="s">
        <v>12</v>
      </c>
      <c r="AH164" t="s">
        <v>12</v>
      </c>
      <c r="AJ164" s="10" t="s">
        <v>12</v>
      </c>
      <c r="AK164" t="s">
        <v>12</v>
      </c>
      <c r="AL164" t="s">
        <v>12</v>
      </c>
      <c r="AM164" t="s">
        <v>12</v>
      </c>
    </row>
    <row r="165" spans="1:39" x14ac:dyDescent="0.25">
      <c r="A165" s="4" t="s">
        <v>415</v>
      </c>
      <c r="B165" s="4"/>
      <c r="C165" s="4" t="s">
        <v>416</v>
      </c>
      <c r="D165" s="4" t="s">
        <v>417</v>
      </c>
      <c r="E165" s="4" t="s">
        <v>889</v>
      </c>
      <c r="F165" s="4" t="s">
        <v>56</v>
      </c>
      <c r="G165" s="4"/>
      <c r="H165" s="4"/>
      <c r="I165" s="4" t="s">
        <v>388</v>
      </c>
      <c r="J165" s="17">
        <f t="shared" si="5"/>
        <v>0</v>
      </c>
      <c r="K165" s="10" t="s">
        <v>12</v>
      </c>
      <c r="L165" t="s">
        <v>12</v>
      </c>
      <c r="M165" s="2" t="s">
        <v>12</v>
      </c>
      <c r="N165" t="s">
        <v>12</v>
      </c>
      <c r="O165" s="4"/>
      <c r="P165" s="10" t="s">
        <v>12</v>
      </c>
      <c r="Q165" t="s">
        <v>12</v>
      </c>
      <c r="R165" t="s">
        <v>12</v>
      </c>
      <c r="S165" t="s">
        <v>12</v>
      </c>
      <c r="U165" s="10" t="s">
        <v>12</v>
      </c>
      <c r="V165" t="s">
        <v>12</v>
      </c>
      <c r="W165" t="s">
        <v>12</v>
      </c>
      <c r="X165" t="s">
        <v>12</v>
      </c>
      <c r="Z165" s="10" t="s">
        <v>12</v>
      </c>
      <c r="AA165" t="s">
        <v>12</v>
      </c>
      <c r="AB165" t="s">
        <v>12</v>
      </c>
      <c r="AC165" t="s">
        <v>12</v>
      </c>
      <c r="AE165" s="10" t="s">
        <v>870</v>
      </c>
      <c r="AF165">
        <v>9</v>
      </c>
      <c r="AG165">
        <v>0</v>
      </c>
      <c r="AH165">
        <v>0</v>
      </c>
      <c r="AJ165" s="10" t="s">
        <v>12</v>
      </c>
      <c r="AK165" t="s">
        <v>12</v>
      </c>
      <c r="AL165" t="s">
        <v>12</v>
      </c>
      <c r="AM165" t="s">
        <v>12</v>
      </c>
    </row>
    <row r="166" spans="1:39" x14ac:dyDescent="0.25">
      <c r="A166" s="4" t="s">
        <v>418</v>
      </c>
      <c r="B166" s="4"/>
      <c r="C166" s="4" t="s">
        <v>419</v>
      </c>
      <c r="D166" s="4" t="s">
        <v>420</v>
      </c>
      <c r="E166" s="4" t="s">
        <v>890</v>
      </c>
      <c r="F166" s="4" t="s">
        <v>49</v>
      </c>
      <c r="G166" s="4" t="s">
        <v>902</v>
      </c>
      <c r="H166" s="4" t="s">
        <v>12</v>
      </c>
      <c r="I166" s="4" t="s">
        <v>299</v>
      </c>
      <c r="J166" s="17">
        <f t="shared" si="5"/>
        <v>3</v>
      </c>
      <c r="K166" s="10" t="s">
        <v>792</v>
      </c>
      <c r="L166">
        <v>10</v>
      </c>
      <c r="M166" s="1">
        <v>1</v>
      </c>
      <c r="N166">
        <v>3</v>
      </c>
      <c r="O166" t="s">
        <v>661</v>
      </c>
      <c r="P166" s="10" t="s">
        <v>12</v>
      </c>
      <c r="Q166" t="s">
        <v>12</v>
      </c>
      <c r="R166" t="s">
        <v>12</v>
      </c>
      <c r="S166" t="s">
        <v>12</v>
      </c>
      <c r="U166" s="10" t="s">
        <v>12</v>
      </c>
      <c r="V166" t="s">
        <v>12</v>
      </c>
      <c r="W166" t="s">
        <v>12</v>
      </c>
      <c r="X166" t="s">
        <v>12</v>
      </c>
      <c r="Z166" s="10" t="s">
        <v>12</v>
      </c>
      <c r="AA166" t="s">
        <v>12</v>
      </c>
      <c r="AB166" t="s">
        <v>12</v>
      </c>
      <c r="AC166" t="s">
        <v>12</v>
      </c>
      <c r="AE166" s="10" t="s">
        <v>12</v>
      </c>
      <c r="AF166" t="s">
        <v>12</v>
      </c>
      <c r="AG166" t="s">
        <v>12</v>
      </c>
      <c r="AH166" t="s">
        <v>12</v>
      </c>
      <c r="AJ166" s="10" t="s">
        <v>12</v>
      </c>
      <c r="AK166" t="s">
        <v>12</v>
      </c>
      <c r="AL166" t="s">
        <v>12</v>
      </c>
      <c r="AM166" t="s">
        <v>12</v>
      </c>
    </row>
    <row r="167" spans="1:39" x14ac:dyDescent="0.25">
      <c r="A167" s="4" t="s">
        <v>421</v>
      </c>
      <c r="B167" s="4"/>
      <c r="C167" s="4" t="s">
        <v>422</v>
      </c>
      <c r="D167" s="4" t="s">
        <v>423</v>
      </c>
      <c r="E167" s="4" t="s">
        <v>891</v>
      </c>
      <c r="F167" s="4" t="s">
        <v>858</v>
      </c>
      <c r="G167" s="4"/>
      <c r="H167" s="4"/>
      <c r="I167" s="4">
        <v>1</v>
      </c>
      <c r="J167" s="17">
        <f t="shared" si="5"/>
        <v>0</v>
      </c>
      <c r="K167" s="10" t="s">
        <v>12</v>
      </c>
      <c r="L167" t="s">
        <v>12</v>
      </c>
      <c r="M167" s="2" t="s">
        <v>12</v>
      </c>
      <c r="N167" t="s">
        <v>12</v>
      </c>
      <c r="O167" s="4"/>
      <c r="P167" s="10" t="s">
        <v>12</v>
      </c>
      <c r="Q167" t="s">
        <v>12</v>
      </c>
      <c r="R167" t="s">
        <v>12</v>
      </c>
      <c r="S167" t="s">
        <v>12</v>
      </c>
      <c r="U167" s="10" t="s">
        <v>12</v>
      </c>
      <c r="V167" t="s">
        <v>12</v>
      </c>
      <c r="W167" t="s">
        <v>12</v>
      </c>
      <c r="X167" t="s">
        <v>12</v>
      </c>
      <c r="Z167" s="10" t="s">
        <v>859</v>
      </c>
      <c r="AA167">
        <v>10</v>
      </c>
      <c r="AB167">
        <v>0</v>
      </c>
      <c r="AC167">
        <v>0</v>
      </c>
      <c r="AE167" s="10" t="s">
        <v>12</v>
      </c>
      <c r="AF167" t="s">
        <v>12</v>
      </c>
      <c r="AG167" t="s">
        <v>12</v>
      </c>
      <c r="AH167" t="s">
        <v>12</v>
      </c>
      <c r="AJ167" s="10" t="s">
        <v>12</v>
      </c>
      <c r="AK167" t="s">
        <v>12</v>
      </c>
      <c r="AL167" t="s">
        <v>12</v>
      </c>
      <c r="AM167" t="s">
        <v>12</v>
      </c>
    </row>
    <row r="168" spans="1:39" x14ac:dyDescent="0.25">
      <c r="A168" s="4" t="s">
        <v>424</v>
      </c>
      <c r="B168" s="4"/>
      <c r="C168" s="4" t="s">
        <v>425</v>
      </c>
      <c r="D168" s="4" t="s">
        <v>426</v>
      </c>
      <c r="E168" s="4" t="s">
        <v>892</v>
      </c>
      <c r="F168" s="4" t="s">
        <v>79</v>
      </c>
      <c r="G168" s="4"/>
      <c r="H168" s="4"/>
      <c r="I168" s="4">
        <v>1</v>
      </c>
      <c r="J168" s="17">
        <f t="shared" si="5"/>
        <v>0</v>
      </c>
      <c r="K168" s="10" t="s">
        <v>12</v>
      </c>
      <c r="L168" t="s">
        <v>12</v>
      </c>
      <c r="M168" s="2" t="s">
        <v>12</v>
      </c>
      <c r="N168" t="s">
        <v>12</v>
      </c>
      <c r="O168" s="4"/>
      <c r="P168" s="10" t="s">
        <v>12</v>
      </c>
      <c r="Q168" t="s">
        <v>12</v>
      </c>
      <c r="R168" t="s">
        <v>12</v>
      </c>
      <c r="S168" t="s">
        <v>12</v>
      </c>
      <c r="T168" s="4"/>
      <c r="U168" t="s">
        <v>894</v>
      </c>
      <c r="V168" s="4">
        <v>67</v>
      </c>
      <c r="W168" s="4">
        <v>0</v>
      </c>
      <c r="X168" s="4">
        <v>0</v>
      </c>
      <c r="Z168" s="10" t="s">
        <v>12</v>
      </c>
      <c r="AA168" t="s">
        <v>12</v>
      </c>
      <c r="AB168" t="s">
        <v>12</v>
      </c>
      <c r="AC168" t="s">
        <v>12</v>
      </c>
      <c r="AE168" s="10" t="s">
        <v>893</v>
      </c>
      <c r="AF168">
        <v>1</v>
      </c>
      <c r="AG168">
        <v>0</v>
      </c>
      <c r="AH168">
        <v>0</v>
      </c>
      <c r="AJ168" s="10" t="s">
        <v>12</v>
      </c>
      <c r="AK168" t="s">
        <v>12</v>
      </c>
      <c r="AL168" t="s">
        <v>12</v>
      </c>
      <c r="AM168" t="s">
        <v>12</v>
      </c>
    </row>
    <row r="169" spans="1:39" x14ac:dyDescent="0.25">
      <c r="A169" s="4" t="s">
        <v>427</v>
      </c>
      <c r="B169" s="4"/>
      <c r="C169" s="4" t="s">
        <v>428</v>
      </c>
      <c r="D169" s="4" t="s">
        <v>429</v>
      </c>
      <c r="E169" s="4" t="s">
        <v>895</v>
      </c>
      <c r="F169" s="4" t="s">
        <v>825</v>
      </c>
      <c r="G169" s="4"/>
      <c r="H169" s="4"/>
      <c r="I169" s="4">
        <v>1</v>
      </c>
      <c r="J169" s="17">
        <f t="shared" si="5"/>
        <v>0</v>
      </c>
      <c r="K169" s="10" t="s">
        <v>12</v>
      </c>
      <c r="L169" t="s">
        <v>12</v>
      </c>
      <c r="M169" s="2" t="s">
        <v>12</v>
      </c>
      <c r="N169" t="s">
        <v>12</v>
      </c>
      <c r="O169" s="4"/>
      <c r="P169" s="10" t="s">
        <v>12</v>
      </c>
      <c r="Q169" t="s">
        <v>12</v>
      </c>
      <c r="R169" t="s">
        <v>12</v>
      </c>
      <c r="S169" t="s">
        <v>12</v>
      </c>
      <c r="T169" s="4"/>
      <c r="U169" s="15" t="s">
        <v>896</v>
      </c>
      <c r="V169" s="4">
        <v>9</v>
      </c>
      <c r="W169" s="4">
        <v>0</v>
      </c>
      <c r="X169" s="4">
        <v>0</v>
      </c>
      <c r="Z169" s="10" t="s">
        <v>897</v>
      </c>
      <c r="AA169" s="16">
        <v>1</v>
      </c>
      <c r="AB169" s="16">
        <v>0</v>
      </c>
      <c r="AC169" s="16">
        <v>0</v>
      </c>
      <c r="AE169" s="10" t="s">
        <v>12</v>
      </c>
      <c r="AF169" t="s">
        <v>12</v>
      </c>
      <c r="AG169" t="s">
        <v>12</v>
      </c>
      <c r="AH169" t="s">
        <v>12</v>
      </c>
      <c r="AJ169" s="10" t="s">
        <v>12</v>
      </c>
      <c r="AK169" t="s">
        <v>12</v>
      </c>
      <c r="AL169" t="s">
        <v>12</v>
      </c>
      <c r="AM169" t="s">
        <v>12</v>
      </c>
    </row>
    <row r="170" spans="1:39" x14ac:dyDescent="0.25">
      <c r="A170" s="4" t="s">
        <v>146</v>
      </c>
      <c r="B170" s="4"/>
      <c r="C170" s="4" t="s">
        <v>430</v>
      </c>
      <c r="D170" s="4" t="s">
        <v>431</v>
      </c>
      <c r="E170" s="4" t="s">
        <v>898</v>
      </c>
      <c r="F170" s="4" t="s">
        <v>714</v>
      </c>
      <c r="G170" s="4"/>
      <c r="H170" s="4"/>
      <c r="I170" s="4"/>
      <c r="J170" s="17">
        <f t="shared" si="5"/>
        <v>0</v>
      </c>
      <c r="K170" s="15" t="s">
        <v>899</v>
      </c>
      <c r="L170" s="4">
        <v>3</v>
      </c>
      <c r="M170" s="1">
        <v>0</v>
      </c>
      <c r="N170" s="4">
        <v>0</v>
      </c>
      <c r="O170" t="s">
        <v>81</v>
      </c>
      <c r="P170" s="10" t="s">
        <v>12</v>
      </c>
      <c r="Q170" t="s">
        <v>12</v>
      </c>
      <c r="R170" t="s">
        <v>12</v>
      </c>
      <c r="S170" t="s">
        <v>12</v>
      </c>
      <c r="U170" s="10" t="s">
        <v>12</v>
      </c>
      <c r="V170" t="s">
        <v>12</v>
      </c>
      <c r="W170" t="s">
        <v>12</v>
      </c>
      <c r="X170" t="s">
        <v>12</v>
      </c>
      <c r="Z170" s="10" t="s">
        <v>12</v>
      </c>
      <c r="AA170" t="s">
        <v>12</v>
      </c>
      <c r="AB170" t="s">
        <v>12</v>
      </c>
      <c r="AC170" t="s">
        <v>12</v>
      </c>
      <c r="AE170" s="10" t="s">
        <v>12</v>
      </c>
      <c r="AF170" t="s">
        <v>12</v>
      </c>
      <c r="AG170" t="s">
        <v>12</v>
      </c>
      <c r="AH170" t="s">
        <v>12</v>
      </c>
      <c r="AJ170" s="10" t="s">
        <v>12</v>
      </c>
      <c r="AK170" t="s">
        <v>12</v>
      </c>
      <c r="AL170" t="s">
        <v>12</v>
      </c>
      <c r="AM170" t="s">
        <v>12</v>
      </c>
    </row>
    <row r="171" spans="1:39" x14ac:dyDescent="0.25">
      <c r="A171" s="4" t="s">
        <v>432</v>
      </c>
      <c r="B171" s="4"/>
      <c r="C171" s="4" t="s">
        <v>433</v>
      </c>
      <c r="D171" s="4" t="s">
        <v>92</v>
      </c>
      <c r="E171" s="4" t="s">
        <v>901</v>
      </c>
      <c r="F171" s="4" t="s">
        <v>90</v>
      </c>
      <c r="G171" s="4" t="s">
        <v>903</v>
      </c>
      <c r="H171" s="4" t="s">
        <v>12</v>
      </c>
      <c r="I171" s="4">
        <v>1</v>
      </c>
      <c r="J171" s="17">
        <f t="shared" si="5"/>
        <v>3</v>
      </c>
      <c r="K171" s="15" t="s">
        <v>900</v>
      </c>
      <c r="L171" s="4">
        <v>1</v>
      </c>
      <c r="M171" s="3">
        <v>1</v>
      </c>
      <c r="N171" s="16">
        <v>3</v>
      </c>
      <c r="O171" t="s">
        <v>661</v>
      </c>
      <c r="P171" s="10" t="s">
        <v>12</v>
      </c>
      <c r="Q171" t="s">
        <v>12</v>
      </c>
      <c r="R171" t="s">
        <v>12</v>
      </c>
      <c r="S171" t="s">
        <v>12</v>
      </c>
      <c r="U171" s="10" t="s">
        <v>12</v>
      </c>
      <c r="V171" t="s">
        <v>12</v>
      </c>
      <c r="W171" t="s">
        <v>12</v>
      </c>
      <c r="X171" t="s">
        <v>12</v>
      </c>
      <c r="Z171" s="10" t="s">
        <v>12</v>
      </c>
      <c r="AA171" t="s">
        <v>12</v>
      </c>
      <c r="AB171" t="s">
        <v>12</v>
      </c>
      <c r="AC171" t="s">
        <v>12</v>
      </c>
      <c r="AE171" s="10" t="s">
        <v>12</v>
      </c>
      <c r="AF171" t="s">
        <v>12</v>
      </c>
      <c r="AG171" t="s">
        <v>12</v>
      </c>
      <c r="AH171" t="s">
        <v>12</v>
      </c>
      <c r="AJ171" s="10" t="s">
        <v>12</v>
      </c>
      <c r="AK171" t="s">
        <v>12</v>
      </c>
      <c r="AL171" t="s">
        <v>12</v>
      </c>
      <c r="AM171" t="s">
        <v>12</v>
      </c>
    </row>
    <row r="172" spans="1:39" x14ac:dyDescent="0.25">
      <c r="A172" s="4" t="s">
        <v>432</v>
      </c>
      <c r="B172" s="4"/>
      <c r="C172" s="4" t="s">
        <v>433</v>
      </c>
      <c r="D172" s="4" t="s">
        <v>92</v>
      </c>
      <c r="E172" s="4" t="s">
        <v>901</v>
      </c>
      <c r="F172" s="4" t="s">
        <v>90</v>
      </c>
      <c r="G172" s="4" t="s">
        <v>903</v>
      </c>
      <c r="H172" s="4" t="s">
        <v>12</v>
      </c>
      <c r="I172" s="4">
        <v>1</v>
      </c>
      <c r="J172" s="17">
        <f t="shared" si="5"/>
        <v>2</v>
      </c>
      <c r="K172" s="15" t="s">
        <v>613</v>
      </c>
      <c r="L172" s="4">
        <v>349</v>
      </c>
      <c r="M172" s="3">
        <v>1</v>
      </c>
      <c r="N172" s="16">
        <v>2</v>
      </c>
      <c r="O172" s="4" t="s">
        <v>914</v>
      </c>
      <c r="P172" s="10" t="s">
        <v>12</v>
      </c>
      <c r="Q172" t="s">
        <v>12</v>
      </c>
      <c r="R172" t="s">
        <v>12</v>
      </c>
      <c r="S172" t="s">
        <v>12</v>
      </c>
      <c r="T172" s="4"/>
      <c r="U172" s="15" t="s">
        <v>614</v>
      </c>
      <c r="V172" s="4">
        <v>60</v>
      </c>
      <c r="W172" s="4">
        <v>0</v>
      </c>
      <c r="X172" s="4">
        <v>0</v>
      </c>
      <c r="Z172" s="10" t="s">
        <v>12</v>
      </c>
      <c r="AA172" t="s">
        <v>12</v>
      </c>
      <c r="AB172" t="s">
        <v>12</v>
      </c>
      <c r="AC172" t="s">
        <v>12</v>
      </c>
      <c r="AE172" s="10" t="s">
        <v>615</v>
      </c>
      <c r="AF172">
        <v>10</v>
      </c>
      <c r="AG172">
        <v>0</v>
      </c>
      <c r="AH172">
        <v>0</v>
      </c>
      <c r="AJ172" s="10" t="s">
        <v>12</v>
      </c>
      <c r="AK172" t="s">
        <v>12</v>
      </c>
      <c r="AL172" t="s">
        <v>12</v>
      </c>
      <c r="AM172" t="s">
        <v>12</v>
      </c>
    </row>
    <row r="173" spans="1:39" x14ac:dyDescent="0.25">
      <c r="A173" s="4" t="s">
        <v>434</v>
      </c>
      <c r="B173" s="4"/>
      <c r="C173" s="4" t="s">
        <v>435</v>
      </c>
      <c r="D173" s="4" t="s">
        <v>436</v>
      </c>
      <c r="E173" s="4" t="s">
        <v>904</v>
      </c>
      <c r="F173" s="4" t="s">
        <v>56</v>
      </c>
      <c r="G173" s="4"/>
      <c r="H173" s="4"/>
      <c r="I173" s="4" t="s">
        <v>161</v>
      </c>
      <c r="J173" s="17">
        <f t="shared" si="5"/>
        <v>0</v>
      </c>
      <c r="K173" s="10" t="s">
        <v>12</v>
      </c>
      <c r="L173" t="s">
        <v>12</v>
      </c>
      <c r="M173" s="2" t="s">
        <v>12</v>
      </c>
      <c r="N173" t="s">
        <v>12</v>
      </c>
      <c r="O173" s="4"/>
      <c r="P173" s="10" t="s">
        <v>12</v>
      </c>
      <c r="Q173" t="s">
        <v>12</v>
      </c>
      <c r="R173" t="s">
        <v>12</v>
      </c>
      <c r="S173" t="s">
        <v>12</v>
      </c>
      <c r="T173" s="4"/>
      <c r="U173" s="10" t="s">
        <v>12</v>
      </c>
      <c r="V173" t="s">
        <v>12</v>
      </c>
      <c r="W173" t="s">
        <v>12</v>
      </c>
      <c r="X173" t="s">
        <v>12</v>
      </c>
      <c r="Z173" s="10" t="s">
        <v>12</v>
      </c>
      <c r="AA173" t="s">
        <v>12</v>
      </c>
      <c r="AB173" t="s">
        <v>12</v>
      </c>
      <c r="AC173" t="s">
        <v>12</v>
      </c>
      <c r="AE173" s="10" t="s">
        <v>636</v>
      </c>
      <c r="AF173">
        <v>7</v>
      </c>
      <c r="AG173">
        <v>0</v>
      </c>
      <c r="AH173">
        <v>0</v>
      </c>
      <c r="AJ173" s="10" t="s">
        <v>12</v>
      </c>
      <c r="AK173" t="s">
        <v>12</v>
      </c>
      <c r="AL173" t="s">
        <v>12</v>
      </c>
      <c r="AM173" t="s">
        <v>12</v>
      </c>
    </row>
    <row r="174" spans="1:39" x14ac:dyDescent="0.25">
      <c r="A174" s="4" t="s">
        <v>437</v>
      </c>
      <c r="B174" s="4"/>
      <c r="C174" s="4" t="s">
        <v>438</v>
      </c>
      <c r="D174" s="4" t="s">
        <v>439</v>
      </c>
      <c r="E174" s="4" t="s">
        <v>905</v>
      </c>
      <c r="F174" s="4" t="s">
        <v>68</v>
      </c>
      <c r="G174" s="4"/>
      <c r="H174" s="4"/>
      <c r="I174" s="4">
        <v>1</v>
      </c>
      <c r="J174" s="17">
        <f t="shared" si="5"/>
        <v>0</v>
      </c>
      <c r="K174" s="15" t="s">
        <v>906</v>
      </c>
      <c r="L174" s="4">
        <v>2</v>
      </c>
      <c r="M174" s="1">
        <v>0</v>
      </c>
      <c r="N174" s="4">
        <v>0</v>
      </c>
      <c r="O174" t="s">
        <v>81</v>
      </c>
      <c r="P174" s="10" t="s">
        <v>12</v>
      </c>
      <c r="Q174" t="s">
        <v>12</v>
      </c>
      <c r="R174" t="s">
        <v>12</v>
      </c>
      <c r="S174" t="s">
        <v>12</v>
      </c>
      <c r="U174" s="10" t="s">
        <v>12</v>
      </c>
      <c r="V174" t="s">
        <v>12</v>
      </c>
      <c r="W174" t="s">
        <v>12</v>
      </c>
      <c r="X174" t="s">
        <v>12</v>
      </c>
      <c r="Z174" s="10" t="s">
        <v>12</v>
      </c>
      <c r="AA174" t="s">
        <v>12</v>
      </c>
      <c r="AB174" t="s">
        <v>12</v>
      </c>
      <c r="AC174" t="s">
        <v>12</v>
      </c>
      <c r="AE174" s="10" t="s">
        <v>12</v>
      </c>
      <c r="AF174" t="s">
        <v>12</v>
      </c>
      <c r="AG174" t="s">
        <v>12</v>
      </c>
      <c r="AH174" t="s">
        <v>12</v>
      </c>
      <c r="AJ174" s="10" t="s">
        <v>12</v>
      </c>
      <c r="AK174" t="s">
        <v>12</v>
      </c>
      <c r="AL174" t="s">
        <v>12</v>
      </c>
      <c r="AM174" t="s">
        <v>12</v>
      </c>
    </row>
    <row r="175" spans="1:39" x14ac:dyDescent="0.25">
      <c r="A175" s="4" t="s">
        <v>440</v>
      </c>
      <c r="B175" s="4"/>
      <c r="C175" s="4" t="s">
        <v>441</v>
      </c>
      <c r="D175" s="4" t="s">
        <v>442</v>
      </c>
      <c r="E175" s="4" t="s">
        <v>907</v>
      </c>
      <c r="F175" s="4" t="s">
        <v>24</v>
      </c>
      <c r="G175" s="4"/>
      <c r="H175" s="4"/>
      <c r="I175" s="4">
        <v>1</v>
      </c>
      <c r="J175" s="17">
        <f t="shared" si="5"/>
        <v>0</v>
      </c>
      <c r="K175" s="15" t="s">
        <v>725</v>
      </c>
      <c r="L175" s="4">
        <v>252</v>
      </c>
      <c r="M175" s="1">
        <v>0</v>
      </c>
      <c r="N175" s="4">
        <v>0</v>
      </c>
      <c r="O175" t="s">
        <v>81</v>
      </c>
      <c r="P175" s="10" t="s">
        <v>12</v>
      </c>
      <c r="Q175" t="s">
        <v>12</v>
      </c>
      <c r="R175" t="s">
        <v>12</v>
      </c>
      <c r="S175" t="s">
        <v>12</v>
      </c>
      <c r="U175" s="10" t="s">
        <v>12</v>
      </c>
      <c r="V175" t="s">
        <v>12</v>
      </c>
      <c r="W175" t="s">
        <v>12</v>
      </c>
      <c r="X175" t="s">
        <v>12</v>
      </c>
      <c r="Z175" s="10" t="s">
        <v>12</v>
      </c>
      <c r="AA175" t="s">
        <v>12</v>
      </c>
      <c r="AB175" t="s">
        <v>12</v>
      </c>
      <c r="AC175" t="s">
        <v>12</v>
      </c>
      <c r="AE175" s="10" t="s">
        <v>724</v>
      </c>
      <c r="AF175">
        <v>377</v>
      </c>
      <c r="AG175">
        <v>0</v>
      </c>
      <c r="AH175">
        <v>0</v>
      </c>
      <c r="AJ175" s="10" t="s">
        <v>12</v>
      </c>
      <c r="AK175" t="s">
        <v>12</v>
      </c>
      <c r="AL175" t="s">
        <v>12</v>
      </c>
      <c r="AM175" t="s">
        <v>12</v>
      </c>
    </row>
    <row r="176" spans="1:39" x14ac:dyDescent="0.25">
      <c r="A176" s="4" t="s">
        <v>443</v>
      </c>
      <c r="B176" s="4"/>
      <c r="C176" s="4" t="s">
        <v>444</v>
      </c>
      <c r="D176" s="4" t="s">
        <v>445</v>
      </c>
      <c r="E176" s="4" t="s">
        <v>908</v>
      </c>
      <c r="F176" s="4" t="s">
        <v>31</v>
      </c>
      <c r="G176" s="4" t="s">
        <v>909</v>
      </c>
      <c r="H176" s="4" t="s">
        <v>12</v>
      </c>
      <c r="I176" s="4" t="s">
        <v>333</v>
      </c>
      <c r="J176" s="17">
        <f t="shared" si="5"/>
        <v>3</v>
      </c>
      <c r="K176" s="15" t="s">
        <v>832</v>
      </c>
      <c r="L176" s="4">
        <v>79</v>
      </c>
      <c r="M176" s="3">
        <v>1</v>
      </c>
      <c r="N176" s="4">
        <v>3</v>
      </c>
      <c r="O176" t="s">
        <v>661</v>
      </c>
      <c r="P176" s="10" t="s">
        <v>12</v>
      </c>
      <c r="Q176" t="s">
        <v>12</v>
      </c>
      <c r="R176" t="s">
        <v>12</v>
      </c>
      <c r="S176" t="s">
        <v>12</v>
      </c>
      <c r="U176" s="10" t="s">
        <v>12</v>
      </c>
      <c r="V176" t="s">
        <v>12</v>
      </c>
      <c r="W176" t="s">
        <v>12</v>
      </c>
      <c r="X176" t="s">
        <v>12</v>
      </c>
      <c r="Z176" s="10" t="s">
        <v>12</v>
      </c>
      <c r="AA176" t="s">
        <v>12</v>
      </c>
      <c r="AB176" t="s">
        <v>12</v>
      </c>
      <c r="AC176" t="s">
        <v>12</v>
      </c>
      <c r="AE176" s="10" t="s">
        <v>12</v>
      </c>
      <c r="AF176" t="s">
        <v>12</v>
      </c>
      <c r="AG176" t="s">
        <v>12</v>
      </c>
      <c r="AH176" t="s">
        <v>12</v>
      </c>
      <c r="AJ176" s="10" t="s">
        <v>12</v>
      </c>
      <c r="AK176" t="s">
        <v>12</v>
      </c>
      <c r="AL176" t="s">
        <v>12</v>
      </c>
      <c r="AM176" t="s">
        <v>12</v>
      </c>
    </row>
    <row r="177" spans="1:39" x14ac:dyDescent="0.25">
      <c r="A177" s="4" t="s">
        <v>446</v>
      </c>
      <c r="B177" s="4"/>
      <c r="C177" s="4" t="s">
        <v>447</v>
      </c>
      <c r="D177" s="4" t="s">
        <v>448</v>
      </c>
      <c r="E177" s="4" t="s">
        <v>910</v>
      </c>
      <c r="F177" s="4" t="s">
        <v>912</v>
      </c>
      <c r="G177" s="4"/>
      <c r="H177" s="4"/>
      <c r="I177" s="4">
        <v>1</v>
      </c>
      <c r="J177" s="17">
        <f t="shared" si="5"/>
        <v>0</v>
      </c>
      <c r="K177" s="10" t="s">
        <v>12</v>
      </c>
      <c r="L177" t="s">
        <v>12</v>
      </c>
      <c r="M177" s="2" t="s">
        <v>12</v>
      </c>
      <c r="N177" t="s">
        <v>12</v>
      </c>
      <c r="O177" s="4"/>
      <c r="P177" s="10" t="s">
        <v>12</v>
      </c>
      <c r="Q177" t="s">
        <v>12</v>
      </c>
      <c r="R177" t="s">
        <v>12</v>
      </c>
      <c r="S177" t="s">
        <v>12</v>
      </c>
      <c r="T177" s="4"/>
      <c r="U177" s="10" t="s">
        <v>12</v>
      </c>
      <c r="V177" t="s">
        <v>12</v>
      </c>
      <c r="W177" t="s">
        <v>12</v>
      </c>
      <c r="X177" t="s">
        <v>12</v>
      </c>
      <c r="Z177" s="10" t="s">
        <v>12</v>
      </c>
      <c r="AA177" t="s">
        <v>12</v>
      </c>
      <c r="AB177" t="s">
        <v>12</v>
      </c>
      <c r="AC177" t="s">
        <v>12</v>
      </c>
      <c r="AE177" s="10" t="s">
        <v>911</v>
      </c>
      <c r="AF177">
        <v>7</v>
      </c>
      <c r="AG177">
        <v>0</v>
      </c>
      <c r="AH177">
        <v>0</v>
      </c>
      <c r="AJ177" s="10" t="s">
        <v>12</v>
      </c>
      <c r="AK177" t="s">
        <v>12</v>
      </c>
      <c r="AL177" t="s">
        <v>12</v>
      </c>
      <c r="AM177" t="s">
        <v>12</v>
      </c>
    </row>
    <row r="178" spans="1:39" x14ac:dyDescent="0.25">
      <c r="A178" s="4" t="s">
        <v>449</v>
      </c>
      <c r="B178" s="4"/>
      <c r="C178" s="4" t="s">
        <v>450</v>
      </c>
      <c r="D178" s="4" t="s">
        <v>451</v>
      </c>
      <c r="E178" s="4" t="s">
        <v>913</v>
      </c>
      <c r="F178" s="4" t="s">
        <v>90</v>
      </c>
      <c r="G178" s="4" t="s">
        <v>920</v>
      </c>
      <c r="H178" s="4" t="s">
        <v>12</v>
      </c>
      <c r="I178" s="4" t="s">
        <v>92</v>
      </c>
      <c r="J178" s="17">
        <f t="shared" si="5"/>
        <v>2</v>
      </c>
      <c r="K178" s="15" t="s">
        <v>613</v>
      </c>
      <c r="L178" s="4">
        <v>349</v>
      </c>
      <c r="M178" s="3">
        <v>1</v>
      </c>
      <c r="N178" s="16">
        <v>2</v>
      </c>
      <c r="O178" s="4" t="s">
        <v>93</v>
      </c>
      <c r="P178" s="10" t="s">
        <v>12</v>
      </c>
      <c r="Q178" t="s">
        <v>12</v>
      </c>
      <c r="R178" t="s">
        <v>12</v>
      </c>
      <c r="S178" t="s">
        <v>12</v>
      </c>
      <c r="T178" s="4"/>
      <c r="U178" s="15" t="s">
        <v>614</v>
      </c>
      <c r="V178" s="4">
        <v>60</v>
      </c>
      <c r="W178" s="4">
        <v>0</v>
      </c>
      <c r="X178" s="4">
        <v>0</v>
      </c>
      <c r="Z178" s="10" t="s">
        <v>12</v>
      </c>
      <c r="AA178" t="s">
        <v>12</v>
      </c>
      <c r="AB178" t="s">
        <v>12</v>
      </c>
      <c r="AC178" t="s">
        <v>12</v>
      </c>
      <c r="AE178" s="10" t="s">
        <v>615</v>
      </c>
      <c r="AF178">
        <v>10</v>
      </c>
      <c r="AG178">
        <v>0</v>
      </c>
      <c r="AH178">
        <v>0</v>
      </c>
      <c r="AJ178" s="10" t="s">
        <v>12</v>
      </c>
      <c r="AK178" t="s">
        <v>12</v>
      </c>
      <c r="AL178" t="s">
        <v>12</v>
      </c>
      <c r="AM178" t="s">
        <v>12</v>
      </c>
    </row>
    <row r="179" spans="1:39" x14ac:dyDescent="0.25">
      <c r="A179" s="4" t="s">
        <v>269</v>
      </c>
      <c r="B179" s="4"/>
      <c r="C179" s="4" t="s">
        <v>452</v>
      </c>
      <c r="D179" s="4" t="s">
        <v>453</v>
      </c>
      <c r="E179" s="4" t="s">
        <v>915</v>
      </c>
      <c r="F179" s="4" t="s">
        <v>105</v>
      </c>
      <c r="G179" s="4"/>
      <c r="H179" s="4"/>
      <c r="I179" s="4" t="s">
        <v>103</v>
      </c>
      <c r="J179" s="17">
        <f t="shared" si="5"/>
        <v>0</v>
      </c>
      <c r="K179" s="10" t="s">
        <v>916</v>
      </c>
      <c r="L179">
        <v>2409</v>
      </c>
      <c r="M179" s="1">
        <v>0</v>
      </c>
      <c r="N179">
        <v>0</v>
      </c>
      <c r="O179" t="s">
        <v>106</v>
      </c>
      <c r="P179" s="10" t="s">
        <v>917</v>
      </c>
      <c r="Q179">
        <v>11</v>
      </c>
      <c r="R179">
        <v>0</v>
      </c>
      <c r="S179">
        <v>0</v>
      </c>
      <c r="U179" s="10" t="s">
        <v>918</v>
      </c>
      <c r="V179">
        <v>2</v>
      </c>
      <c r="W179">
        <v>0</v>
      </c>
      <c r="X179">
        <v>0</v>
      </c>
      <c r="Z179" s="10" t="s">
        <v>12</v>
      </c>
      <c r="AA179" t="s">
        <v>12</v>
      </c>
      <c r="AB179" t="s">
        <v>12</v>
      </c>
      <c r="AC179" t="s">
        <v>12</v>
      </c>
      <c r="AE179" s="10" t="s">
        <v>12</v>
      </c>
      <c r="AF179" t="s">
        <v>12</v>
      </c>
      <c r="AG179" t="s">
        <v>12</v>
      </c>
      <c r="AH179" t="s">
        <v>12</v>
      </c>
      <c r="AJ179" s="10" t="s">
        <v>12</v>
      </c>
      <c r="AK179" t="s">
        <v>12</v>
      </c>
      <c r="AL179" t="s">
        <v>12</v>
      </c>
      <c r="AM179" t="s">
        <v>12</v>
      </c>
    </row>
    <row r="180" spans="1:39" x14ac:dyDescent="0.25">
      <c r="A180" s="4" t="s">
        <v>454</v>
      </c>
      <c r="B180" s="4"/>
      <c r="C180" s="4" t="s">
        <v>455</v>
      </c>
      <c r="D180" s="4" t="s">
        <v>456</v>
      </c>
      <c r="E180" s="4" t="s">
        <v>919</v>
      </c>
      <c r="F180" s="4"/>
      <c r="G180" s="4"/>
      <c r="H180" s="4"/>
      <c r="I180" s="4" t="s">
        <v>124</v>
      </c>
      <c r="J180" s="17">
        <f t="shared" si="5"/>
        <v>0</v>
      </c>
      <c r="K180" s="10" t="s">
        <v>12</v>
      </c>
      <c r="L180" t="s">
        <v>12</v>
      </c>
      <c r="M180" s="2" t="s">
        <v>12</v>
      </c>
      <c r="N180" t="s">
        <v>12</v>
      </c>
      <c r="O180" s="4"/>
      <c r="P180" s="10" t="s">
        <v>12</v>
      </c>
      <c r="Q180" t="s">
        <v>12</v>
      </c>
      <c r="R180" t="s">
        <v>12</v>
      </c>
      <c r="S180" t="s">
        <v>12</v>
      </c>
      <c r="T180" s="4"/>
      <c r="U180" s="10" t="s">
        <v>12</v>
      </c>
      <c r="V180" t="s">
        <v>12</v>
      </c>
      <c r="W180" t="s">
        <v>12</v>
      </c>
      <c r="X180" t="s">
        <v>12</v>
      </c>
      <c r="Z180" s="10" t="s">
        <v>634</v>
      </c>
      <c r="AA180">
        <v>41</v>
      </c>
      <c r="AB180">
        <v>0</v>
      </c>
      <c r="AC180">
        <v>0</v>
      </c>
      <c r="AE180" s="10" t="s">
        <v>12</v>
      </c>
      <c r="AF180" t="s">
        <v>12</v>
      </c>
      <c r="AG180" t="s">
        <v>12</v>
      </c>
      <c r="AH180" t="s">
        <v>12</v>
      </c>
      <c r="AJ180" s="10" t="s">
        <v>12</v>
      </c>
      <c r="AK180" t="s">
        <v>12</v>
      </c>
      <c r="AL180" t="s">
        <v>12</v>
      </c>
      <c r="AM180" t="s">
        <v>12</v>
      </c>
    </row>
    <row r="181" spans="1:39" x14ac:dyDescent="0.25">
      <c r="A181" s="4" t="s">
        <v>457</v>
      </c>
      <c r="B181" s="4"/>
      <c r="C181" s="4" t="s">
        <v>458</v>
      </c>
      <c r="D181" s="4" t="s">
        <v>459</v>
      </c>
      <c r="E181" s="4" t="s">
        <v>921</v>
      </c>
      <c r="F181" s="4" t="s">
        <v>764</v>
      </c>
      <c r="G181" s="4"/>
      <c r="H181" s="4"/>
      <c r="I181" s="4" t="s">
        <v>293</v>
      </c>
      <c r="J181" s="17">
        <f t="shared" si="5"/>
        <v>0</v>
      </c>
      <c r="K181" s="10" t="s">
        <v>12</v>
      </c>
      <c r="L181" t="s">
        <v>12</v>
      </c>
      <c r="M181" s="2" t="s">
        <v>12</v>
      </c>
      <c r="N181" t="s">
        <v>12</v>
      </c>
      <c r="P181" s="10" t="s">
        <v>789</v>
      </c>
      <c r="Q181">
        <v>204</v>
      </c>
      <c r="R181">
        <v>0</v>
      </c>
      <c r="S181">
        <v>0</v>
      </c>
      <c r="U181" s="10" t="s">
        <v>12</v>
      </c>
      <c r="V181" t="s">
        <v>12</v>
      </c>
      <c r="W181" t="s">
        <v>12</v>
      </c>
      <c r="X181" t="s">
        <v>12</v>
      </c>
      <c r="Z181" s="10" t="s">
        <v>788</v>
      </c>
      <c r="AA181">
        <v>236</v>
      </c>
      <c r="AB181">
        <v>0</v>
      </c>
      <c r="AC181">
        <v>0</v>
      </c>
      <c r="AE181" s="10" t="s">
        <v>12</v>
      </c>
      <c r="AF181" t="s">
        <v>12</v>
      </c>
      <c r="AG181" t="s">
        <v>12</v>
      </c>
      <c r="AH181" t="s">
        <v>12</v>
      </c>
      <c r="AJ181" s="10" t="s">
        <v>12</v>
      </c>
      <c r="AK181" t="s">
        <v>12</v>
      </c>
      <c r="AL181" t="s">
        <v>12</v>
      </c>
      <c r="AM181" t="s">
        <v>12</v>
      </c>
    </row>
    <row r="182" spans="1:39" x14ac:dyDescent="0.25">
      <c r="A182" s="4" t="s">
        <v>460</v>
      </c>
      <c r="B182" s="4"/>
      <c r="C182" s="4" t="s">
        <v>461</v>
      </c>
      <c r="D182" s="4" t="s">
        <v>462</v>
      </c>
      <c r="E182" s="4" t="s">
        <v>922</v>
      </c>
      <c r="F182" s="4" t="s">
        <v>11</v>
      </c>
      <c r="G182" s="4"/>
      <c r="H182" s="4"/>
      <c r="I182" s="4" t="s">
        <v>9</v>
      </c>
      <c r="J182" s="17">
        <f t="shared" si="5"/>
        <v>0</v>
      </c>
      <c r="K182" s="10" t="s">
        <v>12</v>
      </c>
      <c r="L182" t="s">
        <v>12</v>
      </c>
      <c r="M182" s="2" t="s">
        <v>12</v>
      </c>
      <c r="N182" t="s">
        <v>12</v>
      </c>
      <c r="O182" s="4"/>
      <c r="P182" s="15" t="s">
        <v>599</v>
      </c>
      <c r="Q182" s="4">
        <v>2</v>
      </c>
      <c r="R182" s="4">
        <v>0</v>
      </c>
      <c r="S182" s="4">
        <v>0</v>
      </c>
      <c r="T182" s="4"/>
      <c r="U182" s="10" t="s">
        <v>12</v>
      </c>
      <c r="V182" t="s">
        <v>12</v>
      </c>
      <c r="W182" t="s">
        <v>12</v>
      </c>
      <c r="X182" t="s">
        <v>12</v>
      </c>
      <c r="Z182" s="10" t="s">
        <v>12</v>
      </c>
      <c r="AA182" t="s">
        <v>12</v>
      </c>
      <c r="AB182" t="s">
        <v>12</v>
      </c>
      <c r="AC182" t="s">
        <v>12</v>
      </c>
      <c r="AE182" s="10" t="s">
        <v>12</v>
      </c>
      <c r="AF182" t="s">
        <v>12</v>
      </c>
      <c r="AG182" t="s">
        <v>12</v>
      </c>
      <c r="AH182" t="s">
        <v>12</v>
      </c>
      <c r="AJ182" s="10" t="s">
        <v>12</v>
      </c>
      <c r="AK182" t="s">
        <v>12</v>
      </c>
      <c r="AL182" t="s">
        <v>12</v>
      </c>
      <c r="AM182" t="s">
        <v>12</v>
      </c>
    </row>
    <row r="183" spans="1:39" x14ac:dyDescent="0.25">
      <c r="A183" s="4" t="s">
        <v>463</v>
      </c>
      <c r="B183" s="4" t="s">
        <v>70</v>
      </c>
      <c r="C183" s="4" t="s">
        <v>464</v>
      </c>
      <c r="D183" s="4" t="s">
        <v>465</v>
      </c>
      <c r="E183" s="4" t="s">
        <v>923</v>
      </c>
      <c r="F183" s="4" t="s">
        <v>744</v>
      </c>
      <c r="G183" s="4"/>
      <c r="H183" s="4"/>
      <c r="I183" s="4">
        <v>1</v>
      </c>
      <c r="J183" s="17">
        <f t="shared" si="5"/>
        <v>4</v>
      </c>
      <c r="K183" s="15" t="s">
        <v>743</v>
      </c>
      <c r="L183" s="4">
        <v>248</v>
      </c>
      <c r="M183" s="3">
        <v>1</v>
      </c>
      <c r="N183" s="16">
        <v>4</v>
      </c>
      <c r="O183" t="s">
        <v>664</v>
      </c>
      <c r="P183" s="10" t="s">
        <v>12</v>
      </c>
      <c r="Q183" t="s">
        <v>12</v>
      </c>
      <c r="R183" t="s">
        <v>12</v>
      </c>
      <c r="S183" t="s">
        <v>12</v>
      </c>
      <c r="U183" s="10" t="s">
        <v>12</v>
      </c>
      <c r="V183" t="s">
        <v>12</v>
      </c>
      <c r="W183" t="s">
        <v>12</v>
      </c>
      <c r="X183" t="s">
        <v>12</v>
      </c>
      <c r="Z183" s="10" t="s">
        <v>12</v>
      </c>
      <c r="AA183" t="s">
        <v>12</v>
      </c>
      <c r="AB183" t="s">
        <v>12</v>
      </c>
      <c r="AC183" t="s">
        <v>12</v>
      </c>
      <c r="AE183" s="10" t="s">
        <v>12</v>
      </c>
      <c r="AF183" t="s">
        <v>12</v>
      </c>
      <c r="AG183" t="s">
        <v>12</v>
      </c>
      <c r="AH183" t="s">
        <v>12</v>
      </c>
      <c r="AJ183" s="10" t="s">
        <v>12</v>
      </c>
      <c r="AK183" t="s">
        <v>12</v>
      </c>
      <c r="AL183" t="s">
        <v>12</v>
      </c>
      <c r="AM183" t="s">
        <v>12</v>
      </c>
    </row>
    <row r="184" spans="1:39" x14ac:dyDescent="0.25">
      <c r="A184" s="4" t="s">
        <v>463</v>
      </c>
      <c r="B184" s="4" t="s">
        <v>70</v>
      </c>
      <c r="C184" s="4" t="s">
        <v>464</v>
      </c>
      <c r="D184" s="4" t="s">
        <v>465</v>
      </c>
      <c r="E184" s="4" t="s">
        <v>923</v>
      </c>
      <c r="F184" s="4" t="s">
        <v>68</v>
      </c>
      <c r="G184" s="4"/>
      <c r="H184" s="4"/>
      <c r="I184" t="s">
        <v>925</v>
      </c>
      <c r="J184" s="17">
        <f t="shared" si="5"/>
        <v>3</v>
      </c>
      <c r="K184" s="10" t="s">
        <v>700</v>
      </c>
      <c r="L184">
        <v>3</v>
      </c>
      <c r="M184" s="3">
        <v>1</v>
      </c>
      <c r="N184">
        <v>3</v>
      </c>
      <c r="O184" t="s">
        <v>661</v>
      </c>
      <c r="P184" s="10" t="s">
        <v>12</v>
      </c>
      <c r="Q184" t="s">
        <v>12</v>
      </c>
      <c r="R184" t="s">
        <v>12</v>
      </c>
      <c r="S184" t="s">
        <v>12</v>
      </c>
      <c r="U184" s="10" t="s">
        <v>12</v>
      </c>
      <c r="V184" t="s">
        <v>12</v>
      </c>
      <c r="W184" t="s">
        <v>12</v>
      </c>
      <c r="X184" t="s">
        <v>12</v>
      </c>
      <c r="Z184" s="10" t="s">
        <v>12</v>
      </c>
      <c r="AA184" t="s">
        <v>12</v>
      </c>
      <c r="AB184" t="s">
        <v>12</v>
      </c>
      <c r="AC184" t="s">
        <v>12</v>
      </c>
      <c r="AE184" s="10" t="s">
        <v>12</v>
      </c>
      <c r="AF184" t="s">
        <v>12</v>
      </c>
      <c r="AG184" t="s">
        <v>12</v>
      </c>
      <c r="AH184" t="s">
        <v>12</v>
      </c>
      <c r="AJ184" s="10" t="s">
        <v>12</v>
      </c>
      <c r="AK184" t="s">
        <v>12</v>
      </c>
      <c r="AL184" t="s">
        <v>12</v>
      </c>
      <c r="AM184" t="s">
        <v>12</v>
      </c>
    </row>
    <row r="185" spans="1:39" x14ac:dyDescent="0.25">
      <c r="A185" s="2"/>
      <c r="B185" s="2"/>
      <c r="C185" s="2" t="s">
        <v>466</v>
      </c>
      <c r="D185" s="2" t="s">
        <v>467</v>
      </c>
      <c r="E185" s="2"/>
      <c r="F185" s="2" t="s">
        <v>736</v>
      </c>
      <c r="G185" s="2"/>
      <c r="H185" s="2"/>
      <c r="I185" s="2" t="s">
        <v>1041</v>
      </c>
      <c r="J185" s="13">
        <f t="shared" si="5"/>
        <v>0</v>
      </c>
      <c r="K185" s="11" t="s">
        <v>12</v>
      </c>
      <c r="L185" s="2" t="s">
        <v>12</v>
      </c>
      <c r="M185" s="2" t="s">
        <v>12</v>
      </c>
      <c r="N185" s="2" t="s">
        <v>12</v>
      </c>
      <c r="O185" s="2"/>
      <c r="P185" s="11" t="s">
        <v>12</v>
      </c>
      <c r="Q185" s="2" t="s">
        <v>12</v>
      </c>
      <c r="R185" s="2" t="s">
        <v>12</v>
      </c>
      <c r="S185" s="2" t="s">
        <v>12</v>
      </c>
      <c r="T185" s="2"/>
      <c r="U185" s="11" t="s">
        <v>12</v>
      </c>
      <c r="V185" s="2" t="s">
        <v>12</v>
      </c>
      <c r="W185" s="2" t="s">
        <v>12</v>
      </c>
      <c r="X185" s="2" t="s">
        <v>12</v>
      </c>
      <c r="Y185" s="2"/>
      <c r="Z185" s="11" t="s">
        <v>12</v>
      </c>
      <c r="AA185" s="2" t="s">
        <v>12</v>
      </c>
      <c r="AB185" s="2" t="s">
        <v>12</v>
      </c>
      <c r="AC185" s="2" t="s">
        <v>12</v>
      </c>
      <c r="AD185" s="2"/>
      <c r="AE185" s="11" t="s">
        <v>926</v>
      </c>
      <c r="AF185" s="2">
        <v>36</v>
      </c>
      <c r="AG185" s="2">
        <v>0</v>
      </c>
      <c r="AH185" s="2">
        <v>0</v>
      </c>
      <c r="AI185" s="2" t="s">
        <v>1042</v>
      </c>
      <c r="AJ185" s="11" t="s">
        <v>12</v>
      </c>
      <c r="AK185" s="2" t="s">
        <v>12</v>
      </c>
      <c r="AL185" s="2" t="s">
        <v>12</v>
      </c>
      <c r="AM185" s="2" t="s">
        <v>12</v>
      </c>
    </row>
    <row r="186" spans="1:39" x14ac:dyDescent="0.25">
      <c r="A186" s="2"/>
      <c r="B186" s="2"/>
      <c r="C186" s="2" t="s">
        <v>466</v>
      </c>
      <c r="D186" s="2" t="s">
        <v>467</v>
      </c>
      <c r="E186" s="2"/>
      <c r="F186" s="2" t="s">
        <v>62</v>
      </c>
      <c r="G186" s="2"/>
      <c r="H186" s="2"/>
      <c r="I186" s="2" t="s">
        <v>1041</v>
      </c>
      <c r="J186" s="13">
        <f t="shared" si="5"/>
        <v>0</v>
      </c>
      <c r="K186" s="11" t="s">
        <v>12</v>
      </c>
      <c r="L186" s="2" t="s">
        <v>12</v>
      </c>
      <c r="M186" s="2" t="s">
        <v>12</v>
      </c>
      <c r="N186" s="2" t="s">
        <v>12</v>
      </c>
      <c r="O186" s="2"/>
      <c r="P186" s="11" t="s">
        <v>12</v>
      </c>
      <c r="Q186" s="2" t="s">
        <v>12</v>
      </c>
      <c r="R186" s="2" t="s">
        <v>12</v>
      </c>
      <c r="S186" s="2" t="s">
        <v>12</v>
      </c>
      <c r="T186" s="2"/>
      <c r="U186" s="11" t="s">
        <v>12</v>
      </c>
      <c r="V186" s="2" t="s">
        <v>12</v>
      </c>
      <c r="W186" s="2" t="s">
        <v>12</v>
      </c>
      <c r="X186" s="2" t="s">
        <v>12</v>
      </c>
      <c r="Y186" s="2"/>
      <c r="Z186" s="11" t="s">
        <v>12</v>
      </c>
      <c r="AA186" s="2" t="s">
        <v>12</v>
      </c>
      <c r="AB186" s="2" t="s">
        <v>12</v>
      </c>
      <c r="AC186" s="2" t="s">
        <v>12</v>
      </c>
      <c r="AD186" s="2"/>
      <c r="AE186" s="11" t="s">
        <v>927</v>
      </c>
      <c r="AF186" s="2">
        <v>1627</v>
      </c>
      <c r="AG186" s="2">
        <v>0</v>
      </c>
      <c r="AH186" s="2">
        <v>0</v>
      </c>
      <c r="AI186" s="2" t="s">
        <v>1042</v>
      </c>
      <c r="AJ186" s="11" t="s">
        <v>12</v>
      </c>
      <c r="AK186" s="2" t="s">
        <v>12</v>
      </c>
      <c r="AL186" s="2" t="s">
        <v>12</v>
      </c>
      <c r="AM186" s="2" t="s">
        <v>12</v>
      </c>
    </row>
    <row r="187" spans="1:39" x14ac:dyDescent="0.25">
      <c r="A187" s="2"/>
      <c r="B187" s="2"/>
      <c r="C187" s="2" t="s">
        <v>466</v>
      </c>
      <c r="D187" s="2" t="s">
        <v>467</v>
      </c>
      <c r="E187" s="2"/>
      <c r="F187" s="2" t="s">
        <v>49</v>
      </c>
      <c r="G187" s="2"/>
      <c r="H187" s="2"/>
      <c r="I187" s="2" t="s">
        <v>1041</v>
      </c>
      <c r="J187" s="13">
        <f t="shared" si="5"/>
        <v>0</v>
      </c>
      <c r="K187" s="11" t="s">
        <v>12</v>
      </c>
      <c r="L187" s="2" t="s">
        <v>12</v>
      </c>
      <c r="M187" s="2" t="s">
        <v>12</v>
      </c>
      <c r="N187" s="2" t="s">
        <v>12</v>
      </c>
      <c r="O187" s="2"/>
      <c r="P187" s="11" t="s">
        <v>12</v>
      </c>
      <c r="Q187" s="2" t="s">
        <v>12</v>
      </c>
      <c r="R187" s="2" t="s">
        <v>12</v>
      </c>
      <c r="S187" s="2" t="s">
        <v>12</v>
      </c>
      <c r="T187" s="2"/>
      <c r="U187" s="11" t="s">
        <v>12</v>
      </c>
      <c r="V187" s="2" t="s">
        <v>12</v>
      </c>
      <c r="W187" s="2" t="s">
        <v>12</v>
      </c>
      <c r="X187" s="2" t="s">
        <v>12</v>
      </c>
      <c r="Y187" s="2"/>
      <c r="Z187" s="11" t="s">
        <v>12</v>
      </c>
      <c r="AA187" s="2" t="s">
        <v>12</v>
      </c>
      <c r="AB187" s="2" t="s">
        <v>12</v>
      </c>
      <c r="AC187" s="2" t="s">
        <v>12</v>
      </c>
      <c r="AD187" s="2"/>
      <c r="AE187" s="11" t="s">
        <v>929</v>
      </c>
      <c r="AF187" s="2">
        <v>224</v>
      </c>
      <c r="AG187" s="2">
        <v>0</v>
      </c>
      <c r="AH187" s="2">
        <v>0</v>
      </c>
      <c r="AI187" s="2" t="s">
        <v>1042</v>
      </c>
      <c r="AJ187" s="11" t="s">
        <v>12</v>
      </c>
      <c r="AK187" s="2" t="s">
        <v>12</v>
      </c>
      <c r="AL187" s="2" t="s">
        <v>12</v>
      </c>
      <c r="AM187" s="2" t="s">
        <v>12</v>
      </c>
    </row>
    <row r="188" spans="1:39" x14ac:dyDescent="0.25">
      <c r="A188" s="2"/>
      <c r="B188" s="2"/>
      <c r="C188" s="2" t="s">
        <v>466</v>
      </c>
      <c r="D188" s="2" t="s">
        <v>467</v>
      </c>
      <c r="E188" s="2"/>
      <c r="F188" s="2" t="s">
        <v>24</v>
      </c>
      <c r="G188" s="2"/>
      <c r="H188" s="2"/>
      <c r="I188" s="2" t="s">
        <v>1041</v>
      </c>
      <c r="J188" s="13">
        <f t="shared" si="5"/>
        <v>0</v>
      </c>
      <c r="K188" s="11" t="s">
        <v>12</v>
      </c>
      <c r="L188" s="2" t="s">
        <v>12</v>
      </c>
      <c r="M188" s="2" t="s">
        <v>12</v>
      </c>
      <c r="N188" s="2" t="s">
        <v>12</v>
      </c>
      <c r="O188" s="2"/>
      <c r="P188" s="11" t="s">
        <v>12</v>
      </c>
      <c r="Q188" s="2" t="s">
        <v>12</v>
      </c>
      <c r="R188" s="2" t="s">
        <v>12</v>
      </c>
      <c r="S188" s="2" t="s">
        <v>12</v>
      </c>
      <c r="T188" s="2"/>
      <c r="U188" s="11" t="s">
        <v>12</v>
      </c>
      <c r="V188" s="2" t="s">
        <v>12</v>
      </c>
      <c r="W188" s="2" t="s">
        <v>12</v>
      </c>
      <c r="X188" s="2" t="s">
        <v>12</v>
      </c>
      <c r="Y188" s="2"/>
      <c r="Z188" s="11" t="s">
        <v>12</v>
      </c>
      <c r="AA188" s="2" t="s">
        <v>12</v>
      </c>
      <c r="AB188" s="2" t="s">
        <v>12</v>
      </c>
      <c r="AC188" s="2" t="s">
        <v>12</v>
      </c>
      <c r="AD188" s="2"/>
      <c r="AE188" s="11" t="s">
        <v>930</v>
      </c>
      <c r="AF188" s="2">
        <v>1056</v>
      </c>
      <c r="AG188" s="2">
        <v>0</v>
      </c>
      <c r="AH188" s="2">
        <v>0</v>
      </c>
      <c r="AI188" s="2" t="s">
        <v>1042</v>
      </c>
      <c r="AJ188" s="11" t="s">
        <v>12</v>
      </c>
      <c r="AK188" s="2" t="s">
        <v>12</v>
      </c>
      <c r="AL188" s="2" t="s">
        <v>12</v>
      </c>
      <c r="AM188" s="2" t="s">
        <v>12</v>
      </c>
    </row>
    <row r="189" spans="1:39" x14ac:dyDescent="0.25">
      <c r="A189" s="2"/>
      <c r="B189" s="2"/>
      <c r="C189" s="2" t="s">
        <v>466</v>
      </c>
      <c r="D189" s="2" t="s">
        <v>467</v>
      </c>
      <c r="E189" s="2"/>
      <c r="F189" s="2" t="s">
        <v>654</v>
      </c>
      <c r="G189" s="2"/>
      <c r="H189" s="2"/>
      <c r="I189" s="2" t="s">
        <v>1041</v>
      </c>
      <c r="J189" s="13">
        <f t="shared" si="5"/>
        <v>0</v>
      </c>
      <c r="K189" s="11" t="s">
        <v>12</v>
      </c>
      <c r="L189" s="2" t="s">
        <v>12</v>
      </c>
      <c r="M189" s="2" t="s">
        <v>12</v>
      </c>
      <c r="N189" s="2" t="s">
        <v>12</v>
      </c>
      <c r="O189" s="2"/>
      <c r="P189" s="11" t="s">
        <v>12</v>
      </c>
      <c r="Q189" s="2" t="s">
        <v>12</v>
      </c>
      <c r="R189" s="2" t="s">
        <v>12</v>
      </c>
      <c r="S189" s="2" t="s">
        <v>12</v>
      </c>
      <c r="T189" s="2"/>
      <c r="U189" s="11" t="s">
        <v>12</v>
      </c>
      <c r="V189" s="2" t="s">
        <v>12</v>
      </c>
      <c r="W189" s="2" t="s">
        <v>12</v>
      </c>
      <c r="X189" s="2" t="s">
        <v>12</v>
      </c>
      <c r="Y189" s="2"/>
      <c r="Z189" s="11" t="s">
        <v>12</v>
      </c>
      <c r="AA189" s="2" t="s">
        <v>12</v>
      </c>
      <c r="AB189" s="2" t="s">
        <v>12</v>
      </c>
      <c r="AC189" s="2" t="s">
        <v>12</v>
      </c>
      <c r="AD189" s="2"/>
      <c r="AE189" s="11" t="s">
        <v>931</v>
      </c>
      <c r="AF189" s="2">
        <v>45</v>
      </c>
      <c r="AG189" s="2">
        <v>0</v>
      </c>
      <c r="AH189" s="2">
        <v>0</v>
      </c>
      <c r="AI189" s="2" t="s">
        <v>1042</v>
      </c>
      <c r="AJ189" s="11" t="s">
        <v>12</v>
      </c>
      <c r="AK189" s="2" t="s">
        <v>12</v>
      </c>
      <c r="AL189" s="2" t="s">
        <v>12</v>
      </c>
      <c r="AM189" s="2" t="s">
        <v>12</v>
      </c>
    </row>
    <row r="190" spans="1:39" x14ac:dyDescent="0.25">
      <c r="A190" s="2"/>
      <c r="B190" s="2"/>
      <c r="C190" s="2" t="s">
        <v>466</v>
      </c>
      <c r="D190" s="2" t="s">
        <v>467</v>
      </c>
      <c r="E190" s="2"/>
      <c r="F190" s="2" t="s">
        <v>764</v>
      </c>
      <c r="G190" s="2"/>
      <c r="H190" s="2"/>
      <c r="I190" s="2" t="s">
        <v>1041</v>
      </c>
      <c r="J190" s="13">
        <f t="shared" si="5"/>
        <v>0</v>
      </c>
      <c r="K190" s="11" t="s">
        <v>12</v>
      </c>
      <c r="L190" s="2" t="s">
        <v>12</v>
      </c>
      <c r="M190" s="2" t="s">
        <v>12</v>
      </c>
      <c r="N190" s="2" t="s">
        <v>12</v>
      </c>
      <c r="O190" s="2"/>
      <c r="P190" s="11" t="s">
        <v>12</v>
      </c>
      <c r="Q190" s="2" t="s">
        <v>12</v>
      </c>
      <c r="R190" s="2" t="s">
        <v>12</v>
      </c>
      <c r="S190" s="2" t="s">
        <v>12</v>
      </c>
      <c r="T190" s="2"/>
      <c r="U190" s="11" t="s">
        <v>12</v>
      </c>
      <c r="V190" s="2" t="s">
        <v>12</v>
      </c>
      <c r="W190" s="2" t="s">
        <v>12</v>
      </c>
      <c r="X190" s="2" t="s">
        <v>12</v>
      </c>
      <c r="Y190" s="2"/>
      <c r="Z190" s="11" t="s">
        <v>12</v>
      </c>
      <c r="AA190" s="2" t="s">
        <v>12</v>
      </c>
      <c r="AB190" s="2" t="s">
        <v>12</v>
      </c>
      <c r="AC190" s="2" t="s">
        <v>12</v>
      </c>
      <c r="AD190" s="2"/>
      <c r="AE190" s="11" t="s">
        <v>932</v>
      </c>
      <c r="AF190" s="2">
        <v>1</v>
      </c>
      <c r="AG190" s="2">
        <v>0</v>
      </c>
      <c r="AH190" s="2">
        <v>0</v>
      </c>
      <c r="AI190" s="2" t="s">
        <v>1042</v>
      </c>
      <c r="AJ190" s="11" t="s">
        <v>12</v>
      </c>
      <c r="AK190" s="2" t="s">
        <v>12</v>
      </c>
      <c r="AL190" s="2" t="s">
        <v>12</v>
      </c>
      <c r="AM190" s="2" t="s">
        <v>12</v>
      </c>
    </row>
    <row r="191" spans="1:39" x14ac:dyDescent="0.25">
      <c r="A191" s="2"/>
      <c r="B191" s="2"/>
      <c r="C191" s="2" t="s">
        <v>466</v>
      </c>
      <c r="D191" s="2" t="s">
        <v>467</v>
      </c>
      <c r="E191" s="2"/>
      <c r="F191" s="2" t="s">
        <v>68</v>
      </c>
      <c r="G191" s="2"/>
      <c r="H191" s="2"/>
      <c r="I191" s="2" t="s">
        <v>1041</v>
      </c>
      <c r="J191" s="13">
        <f t="shared" si="5"/>
        <v>0</v>
      </c>
      <c r="K191" s="11" t="s">
        <v>12</v>
      </c>
      <c r="L191" s="2" t="s">
        <v>12</v>
      </c>
      <c r="M191" s="2" t="s">
        <v>12</v>
      </c>
      <c r="N191" s="2" t="s">
        <v>12</v>
      </c>
      <c r="O191" s="2"/>
      <c r="P191" s="11" t="s">
        <v>12</v>
      </c>
      <c r="Q191" s="2" t="s">
        <v>12</v>
      </c>
      <c r="R191" s="2" t="s">
        <v>12</v>
      </c>
      <c r="S191" s="2" t="s">
        <v>12</v>
      </c>
      <c r="T191" s="2"/>
      <c r="U191" s="11" t="s">
        <v>12</v>
      </c>
      <c r="V191" s="2" t="s">
        <v>12</v>
      </c>
      <c r="W191" s="2" t="s">
        <v>12</v>
      </c>
      <c r="X191" s="2" t="s">
        <v>12</v>
      </c>
      <c r="Y191" s="2"/>
      <c r="Z191" s="11" t="s">
        <v>12</v>
      </c>
      <c r="AA191" s="2" t="s">
        <v>12</v>
      </c>
      <c r="AB191" s="2" t="s">
        <v>12</v>
      </c>
      <c r="AC191" s="2" t="s">
        <v>12</v>
      </c>
      <c r="AD191" s="2"/>
      <c r="AE191" s="11" t="s">
        <v>933</v>
      </c>
      <c r="AF191" s="2">
        <v>4</v>
      </c>
      <c r="AG191" s="2">
        <v>0</v>
      </c>
      <c r="AH191" s="2">
        <v>0</v>
      </c>
      <c r="AI191" s="2" t="s">
        <v>1042</v>
      </c>
      <c r="AJ191" s="11" t="s">
        <v>12</v>
      </c>
      <c r="AK191" s="2" t="s">
        <v>12</v>
      </c>
      <c r="AL191" s="2" t="s">
        <v>12</v>
      </c>
      <c r="AM191" s="2" t="s">
        <v>12</v>
      </c>
    </row>
    <row r="192" spans="1:39" x14ac:dyDescent="0.25">
      <c r="A192" s="2"/>
      <c r="B192" s="2"/>
      <c r="C192" s="2" t="s">
        <v>466</v>
      </c>
      <c r="D192" s="2" t="s">
        <v>467</v>
      </c>
      <c r="E192" s="2"/>
      <c r="F192" s="2" t="s">
        <v>56</v>
      </c>
      <c r="G192" s="2"/>
      <c r="H192" s="2"/>
      <c r="I192" s="2" t="s">
        <v>1041</v>
      </c>
      <c r="J192" s="13">
        <f>SUM(N192,X192,AH192)</f>
        <v>0</v>
      </c>
      <c r="K192" s="11" t="s">
        <v>12</v>
      </c>
      <c r="L192" s="2" t="s">
        <v>12</v>
      </c>
      <c r="M192" s="2" t="s">
        <v>12</v>
      </c>
      <c r="N192" s="2" t="s">
        <v>12</v>
      </c>
      <c r="O192" s="2"/>
      <c r="P192" s="11" t="s">
        <v>12</v>
      </c>
      <c r="Q192" s="2" t="s">
        <v>12</v>
      </c>
      <c r="R192" s="2" t="s">
        <v>12</v>
      </c>
      <c r="S192" s="2" t="s">
        <v>12</v>
      </c>
      <c r="T192" s="2"/>
      <c r="U192" s="11" t="s">
        <v>12</v>
      </c>
      <c r="V192" s="2" t="s">
        <v>12</v>
      </c>
      <c r="W192" s="2" t="s">
        <v>12</v>
      </c>
      <c r="X192" s="2" t="s">
        <v>12</v>
      </c>
      <c r="Y192" s="2"/>
      <c r="Z192" s="11" t="s">
        <v>12</v>
      </c>
      <c r="AA192" s="2" t="s">
        <v>12</v>
      </c>
      <c r="AB192" s="2" t="s">
        <v>12</v>
      </c>
      <c r="AC192" s="2" t="s">
        <v>12</v>
      </c>
      <c r="AD192" s="2"/>
      <c r="AE192" s="11" t="s">
        <v>928</v>
      </c>
      <c r="AF192" s="2">
        <v>122</v>
      </c>
      <c r="AG192" s="2">
        <v>0</v>
      </c>
      <c r="AH192" s="2">
        <v>0</v>
      </c>
      <c r="AI192" s="2" t="s">
        <v>1042</v>
      </c>
      <c r="AJ192" s="11" t="s">
        <v>12</v>
      </c>
      <c r="AK192" s="2" t="s">
        <v>12</v>
      </c>
      <c r="AL192" s="2" t="s">
        <v>12</v>
      </c>
      <c r="AM192" s="2" t="s">
        <v>12</v>
      </c>
    </row>
    <row r="193" spans="1:39" x14ac:dyDescent="0.25">
      <c r="A193" s="2"/>
      <c r="B193" s="2"/>
      <c r="C193" s="2" t="s">
        <v>466</v>
      </c>
      <c r="D193" s="2" t="s">
        <v>467</v>
      </c>
      <c r="E193" s="2"/>
      <c r="F193" s="2" t="s">
        <v>31</v>
      </c>
      <c r="G193" s="2"/>
      <c r="H193" s="2"/>
      <c r="I193" s="2" t="s">
        <v>1041</v>
      </c>
      <c r="J193" s="13">
        <f t="shared" si="5"/>
        <v>0</v>
      </c>
      <c r="K193" s="11" t="s">
        <v>12</v>
      </c>
      <c r="L193" s="2" t="s">
        <v>12</v>
      </c>
      <c r="M193" s="2" t="s">
        <v>12</v>
      </c>
      <c r="N193" s="2" t="s">
        <v>12</v>
      </c>
      <c r="O193" s="2"/>
      <c r="P193" s="11" t="s">
        <v>12</v>
      </c>
      <c r="Q193" s="2" t="s">
        <v>12</v>
      </c>
      <c r="R193" s="2" t="s">
        <v>12</v>
      </c>
      <c r="S193" s="2" t="s">
        <v>12</v>
      </c>
      <c r="T193" s="2"/>
      <c r="U193" s="11" t="s">
        <v>12</v>
      </c>
      <c r="V193" s="2" t="s">
        <v>12</v>
      </c>
      <c r="W193" s="2" t="s">
        <v>12</v>
      </c>
      <c r="X193" s="2" t="s">
        <v>12</v>
      </c>
      <c r="Y193" s="2"/>
      <c r="Z193" s="11" t="s">
        <v>12</v>
      </c>
      <c r="AA193" s="2" t="s">
        <v>12</v>
      </c>
      <c r="AB193" s="2" t="s">
        <v>12</v>
      </c>
      <c r="AC193" s="2" t="s">
        <v>12</v>
      </c>
      <c r="AD193" s="2"/>
      <c r="AE193" s="11" t="s">
        <v>934</v>
      </c>
      <c r="AF193" s="2">
        <v>2137</v>
      </c>
      <c r="AG193" s="2">
        <v>0</v>
      </c>
      <c r="AH193" s="2">
        <v>0</v>
      </c>
      <c r="AI193" s="2" t="s">
        <v>1042</v>
      </c>
      <c r="AJ193" s="11" t="s">
        <v>12</v>
      </c>
      <c r="AK193" s="2" t="s">
        <v>12</v>
      </c>
      <c r="AL193" s="2" t="s">
        <v>12</v>
      </c>
      <c r="AM193" s="2" t="s">
        <v>12</v>
      </c>
    </row>
    <row r="194" spans="1:39" x14ac:dyDescent="0.25">
      <c r="A194" s="4" t="s">
        <v>468</v>
      </c>
      <c r="B194" s="4"/>
      <c r="C194" s="4" t="s">
        <v>133</v>
      </c>
      <c r="D194" s="4" t="s">
        <v>469</v>
      </c>
      <c r="E194" s="4" t="s">
        <v>935</v>
      </c>
      <c r="F194" s="4" t="s">
        <v>825</v>
      </c>
      <c r="G194" s="4"/>
      <c r="H194" s="4"/>
      <c r="I194" s="4" t="s">
        <v>409</v>
      </c>
      <c r="J194" s="17">
        <f t="shared" si="5"/>
        <v>0</v>
      </c>
      <c r="K194" s="10" t="s">
        <v>12</v>
      </c>
      <c r="L194" t="s">
        <v>12</v>
      </c>
      <c r="M194" s="2" t="s">
        <v>12</v>
      </c>
      <c r="N194" t="s">
        <v>12</v>
      </c>
      <c r="O194" s="4"/>
      <c r="P194" s="10" t="s">
        <v>12</v>
      </c>
      <c r="Q194" t="s">
        <v>12</v>
      </c>
      <c r="R194" t="s">
        <v>12</v>
      </c>
      <c r="S194" t="s">
        <v>12</v>
      </c>
      <c r="U194" s="10" t="s">
        <v>12</v>
      </c>
      <c r="V194" t="s">
        <v>12</v>
      </c>
      <c r="W194" t="s">
        <v>12</v>
      </c>
      <c r="X194" t="s">
        <v>12</v>
      </c>
      <c r="Z194" s="10" t="s">
        <v>12</v>
      </c>
      <c r="AA194" t="s">
        <v>12</v>
      </c>
      <c r="AB194" t="s">
        <v>12</v>
      </c>
      <c r="AC194" t="s">
        <v>12</v>
      </c>
      <c r="AE194" s="10" t="s">
        <v>880</v>
      </c>
      <c r="AF194">
        <v>62</v>
      </c>
      <c r="AG194">
        <v>0</v>
      </c>
      <c r="AH194">
        <v>0</v>
      </c>
      <c r="AJ194" s="10" t="s">
        <v>12</v>
      </c>
      <c r="AK194" t="s">
        <v>12</v>
      </c>
      <c r="AL194" t="s">
        <v>12</v>
      </c>
      <c r="AM194" t="s">
        <v>12</v>
      </c>
    </row>
    <row r="195" spans="1:39" x14ac:dyDescent="0.25">
      <c r="A195" s="4" t="s">
        <v>470</v>
      </c>
      <c r="B195" s="4"/>
      <c r="C195" s="4" t="s">
        <v>471</v>
      </c>
      <c r="D195" s="4" t="s">
        <v>472</v>
      </c>
      <c r="E195" s="4" t="s">
        <v>936</v>
      </c>
      <c r="F195" s="4" t="s">
        <v>17</v>
      </c>
      <c r="G195" s="4"/>
      <c r="H195" s="4"/>
      <c r="I195" s="4">
        <v>1</v>
      </c>
      <c r="J195" s="17">
        <f t="shared" si="5"/>
        <v>0</v>
      </c>
      <c r="K195" s="15" t="s">
        <v>937</v>
      </c>
      <c r="L195" s="4">
        <v>10</v>
      </c>
      <c r="M195" s="1">
        <v>0</v>
      </c>
      <c r="N195" s="4">
        <v>0</v>
      </c>
      <c r="O195" t="s">
        <v>81</v>
      </c>
      <c r="P195" s="10" t="s">
        <v>12</v>
      </c>
      <c r="Q195" t="s">
        <v>12</v>
      </c>
      <c r="R195" t="s">
        <v>12</v>
      </c>
      <c r="S195" t="s">
        <v>12</v>
      </c>
      <c r="U195" s="10" t="s">
        <v>12</v>
      </c>
      <c r="V195" t="s">
        <v>12</v>
      </c>
      <c r="W195" t="s">
        <v>12</v>
      </c>
      <c r="X195" t="s">
        <v>12</v>
      </c>
      <c r="Z195" s="10" t="s">
        <v>12</v>
      </c>
      <c r="AA195" t="s">
        <v>12</v>
      </c>
      <c r="AB195" t="s">
        <v>12</v>
      </c>
      <c r="AC195" t="s">
        <v>12</v>
      </c>
      <c r="AE195" s="10" t="s">
        <v>12</v>
      </c>
      <c r="AF195" t="s">
        <v>12</v>
      </c>
      <c r="AG195" t="s">
        <v>12</v>
      </c>
      <c r="AH195" t="s">
        <v>12</v>
      </c>
      <c r="AJ195" s="10" t="s">
        <v>12</v>
      </c>
      <c r="AK195" t="s">
        <v>12</v>
      </c>
      <c r="AL195" t="s">
        <v>12</v>
      </c>
      <c r="AM195" t="s">
        <v>12</v>
      </c>
    </row>
    <row r="196" spans="1:39" x14ac:dyDescent="0.25">
      <c r="A196" s="4" t="s">
        <v>473</v>
      </c>
      <c r="B196" s="4"/>
      <c r="C196" s="4" t="s">
        <v>474</v>
      </c>
      <c r="D196" s="4" t="s">
        <v>475</v>
      </c>
      <c r="E196" s="4" t="s">
        <v>938</v>
      </c>
      <c r="F196" s="4" t="s">
        <v>74</v>
      </c>
      <c r="G196" s="4"/>
      <c r="H196" s="4"/>
      <c r="I196" s="4" t="s">
        <v>584</v>
      </c>
      <c r="J196" s="17">
        <f t="shared" si="5"/>
        <v>0</v>
      </c>
      <c r="K196" s="10" t="s">
        <v>781</v>
      </c>
      <c r="L196">
        <v>6</v>
      </c>
      <c r="M196" s="1">
        <v>0</v>
      </c>
      <c r="N196">
        <v>0</v>
      </c>
      <c r="O196" t="s">
        <v>81</v>
      </c>
      <c r="P196" s="10" t="s">
        <v>12</v>
      </c>
      <c r="Q196" t="s">
        <v>12</v>
      </c>
      <c r="R196" t="s">
        <v>12</v>
      </c>
      <c r="S196" t="s">
        <v>12</v>
      </c>
      <c r="U196" s="10" t="s">
        <v>784</v>
      </c>
      <c r="V196">
        <v>70</v>
      </c>
      <c r="W196">
        <v>0</v>
      </c>
      <c r="X196">
        <v>0</v>
      </c>
      <c r="Z196" s="10" t="s">
        <v>12</v>
      </c>
      <c r="AA196" t="s">
        <v>12</v>
      </c>
      <c r="AB196" t="s">
        <v>12</v>
      </c>
      <c r="AC196" t="s">
        <v>12</v>
      </c>
      <c r="AE196" s="10" t="s">
        <v>783</v>
      </c>
      <c r="AF196">
        <v>1189</v>
      </c>
      <c r="AG196">
        <v>0</v>
      </c>
      <c r="AH196">
        <v>0</v>
      </c>
      <c r="AJ196" s="10" t="s">
        <v>12</v>
      </c>
      <c r="AK196" t="s">
        <v>12</v>
      </c>
      <c r="AL196" t="s">
        <v>12</v>
      </c>
      <c r="AM196" t="s">
        <v>12</v>
      </c>
    </row>
    <row r="197" spans="1:39" x14ac:dyDescent="0.25">
      <c r="A197" s="4" t="s">
        <v>147</v>
      </c>
      <c r="B197" s="4"/>
      <c r="C197" s="4" t="s">
        <v>476</v>
      </c>
      <c r="D197" s="4" t="s">
        <v>477</v>
      </c>
      <c r="E197" s="4" t="s">
        <v>939</v>
      </c>
      <c r="F197" s="4" t="s">
        <v>56</v>
      </c>
      <c r="G197" s="4"/>
      <c r="H197" s="4"/>
      <c r="I197" s="4" t="s">
        <v>279</v>
      </c>
      <c r="J197" s="17">
        <f t="shared" si="5"/>
        <v>0</v>
      </c>
      <c r="K197" t="s">
        <v>940</v>
      </c>
      <c r="L197" s="4">
        <v>26</v>
      </c>
      <c r="M197" s="1">
        <v>0</v>
      </c>
      <c r="N197">
        <v>0</v>
      </c>
      <c r="O197" t="s">
        <v>81</v>
      </c>
      <c r="P197" s="10" t="s">
        <v>12</v>
      </c>
      <c r="Q197" t="s">
        <v>12</v>
      </c>
      <c r="R197" t="s">
        <v>12</v>
      </c>
      <c r="S197" t="s">
        <v>12</v>
      </c>
      <c r="U197" s="10" t="s">
        <v>12</v>
      </c>
      <c r="V197" t="s">
        <v>12</v>
      </c>
      <c r="W197" t="s">
        <v>12</v>
      </c>
      <c r="X197" t="s">
        <v>12</v>
      </c>
      <c r="Z197" s="10" t="s">
        <v>12</v>
      </c>
      <c r="AA197" t="s">
        <v>12</v>
      </c>
      <c r="AB197" t="s">
        <v>12</v>
      </c>
      <c r="AC197" t="s">
        <v>12</v>
      </c>
      <c r="AE197" s="10" t="s">
        <v>12</v>
      </c>
      <c r="AF197" t="s">
        <v>12</v>
      </c>
      <c r="AG197" t="s">
        <v>12</v>
      </c>
      <c r="AH197" t="s">
        <v>12</v>
      </c>
      <c r="AJ197" s="10" t="s">
        <v>12</v>
      </c>
      <c r="AK197" t="s">
        <v>12</v>
      </c>
      <c r="AL197" t="s">
        <v>12</v>
      </c>
      <c r="AM197" t="s">
        <v>12</v>
      </c>
    </row>
    <row r="198" spans="1:39" x14ac:dyDescent="0.25">
      <c r="A198" s="4" t="s">
        <v>478</v>
      </c>
      <c r="B198" s="4" t="s">
        <v>70</v>
      </c>
      <c r="C198" s="4" t="s">
        <v>479</v>
      </c>
      <c r="D198" s="4" t="s">
        <v>480</v>
      </c>
      <c r="E198" s="4" t="s">
        <v>941</v>
      </c>
      <c r="F198" s="4" t="s">
        <v>68</v>
      </c>
      <c r="G198" s="4"/>
      <c r="H198" s="4"/>
      <c r="I198" s="4" t="s">
        <v>942</v>
      </c>
      <c r="J198" s="17">
        <f t="shared" si="5"/>
        <v>0</v>
      </c>
      <c r="K198" s="10" t="s">
        <v>12</v>
      </c>
      <c r="L198" t="s">
        <v>12</v>
      </c>
      <c r="M198" s="2" t="s">
        <v>12</v>
      </c>
      <c r="N198" t="s">
        <v>12</v>
      </c>
      <c r="O198" s="4"/>
      <c r="P198" s="10" t="s">
        <v>12</v>
      </c>
      <c r="Q198" t="s">
        <v>12</v>
      </c>
      <c r="R198" t="s">
        <v>12</v>
      </c>
      <c r="S198" t="s">
        <v>12</v>
      </c>
      <c r="U198" s="10" t="s">
        <v>12</v>
      </c>
      <c r="V198" t="s">
        <v>12</v>
      </c>
      <c r="W198" t="s">
        <v>12</v>
      </c>
      <c r="X198" t="s">
        <v>12</v>
      </c>
      <c r="Z198" s="10" t="s">
        <v>12</v>
      </c>
      <c r="AA198" t="s">
        <v>12</v>
      </c>
      <c r="AB198" t="s">
        <v>12</v>
      </c>
      <c r="AC198" t="s">
        <v>12</v>
      </c>
      <c r="AE198" s="10" t="s">
        <v>12</v>
      </c>
      <c r="AF198" t="s">
        <v>12</v>
      </c>
      <c r="AG198" t="s">
        <v>12</v>
      </c>
      <c r="AH198" t="s">
        <v>12</v>
      </c>
      <c r="AJ198" s="10" t="s">
        <v>799</v>
      </c>
      <c r="AK198">
        <v>1</v>
      </c>
      <c r="AL198">
        <v>0</v>
      </c>
      <c r="AM198">
        <v>0</v>
      </c>
    </row>
    <row r="199" spans="1:39" x14ac:dyDescent="0.25">
      <c r="A199" s="4" t="s">
        <v>481</v>
      </c>
      <c r="C199" s="4" t="s">
        <v>482</v>
      </c>
      <c r="D199" s="4" t="s">
        <v>945</v>
      </c>
      <c r="E199" s="4" t="s">
        <v>943</v>
      </c>
      <c r="F199" s="4" t="s">
        <v>56</v>
      </c>
      <c r="G199" s="4"/>
      <c r="H199" s="4"/>
      <c r="I199" s="4" t="s">
        <v>946</v>
      </c>
      <c r="J199" s="17">
        <f t="shared" si="5"/>
        <v>2</v>
      </c>
      <c r="K199" s="15" t="s">
        <v>944</v>
      </c>
      <c r="L199" s="4">
        <v>1</v>
      </c>
      <c r="M199" s="3">
        <v>1</v>
      </c>
      <c r="N199" s="4">
        <v>2</v>
      </c>
      <c r="O199" t="s">
        <v>662</v>
      </c>
      <c r="P199" s="10" t="s">
        <v>12</v>
      </c>
      <c r="Q199" t="s">
        <v>12</v>
      </c>
      <c r="R199" t="s">
        <v>12</v>
      </c>
      <c r="S199" t="s">
        <v>12</v>
      </c>
      <c r="U199" s="10" t="s">
        <v>12</v>
      </c>
      <c r="V199" t="s">
        <v>12</v>
      </c>
      <c r="W199" t="s">
        <v>12</v>
      </c>
      <c r="X199" t="s">
        <v>12</v>
      </c>
      <c r="Z199" s="10" t="s">
        <v>12</v>
      </c>
      <c r="AA199" t="s">
        <v>12</v>
      </c>
      <c r="AB199" t="s">
        <v>12</v>
      </c>
      <c r="AC199" t="s">
        <v>12</v>
      </c>
      <c r="AE199" s="10" t="s">
        <v>12</v>
      </c>
      <c r="AF199" t="s">
        <v>12</v>
      </c>
      <c r="AG199" t="s">
        <v>12</v>
      </c>
      <c r="AH199" t="s">
        <v>12</v>
      </c>
      <c r="AJ199" s="10" t="s">
        <v>12</v>
      </c>
      <c r="AK199" t="s">
        <v>12</v>
      </c>
      <c r="AL199" t="s">
        <v>12</v>
      </c>
      <c r="AM199" t="s">
        <v>12</v>
      </c>
    </row>
    <row r="200" spans="1:39" x14ac:dyDescent="0.25">
      <c r="A200" s="4" t="s">
        <v>26</v>
      </c>
      <c r="B200" s="4"/>
      <c r="C200" s="4" t="s">
        <v>947</v>
      </c>
      <c r="D200" s="4" t="s">
        <v>946</v>
      </c>
      <c r="E200" s="4" t="s">
        <v>948</v>
      </c>
      <c r="F200" s="4" t="s">
        <v>56</v>
      </c>
      <c r="G200" s="4"/>
      <c r="H200" s="4"/>
      <c r="I200" s="4">
        <v>1</v>
      </c>
      <c r="J200" s="17">
        <f t="shared" si="5"/>
        <v>2</v>
      </c>
      <c r="K200" s="15" t="s">
        <v>944</v>
      </c>
      <c r="L200" s="4">
        <v>1</v>
      </c>
      <c r="M200" s="3">
        <v>1</v>
      </c>
      <c r="N200" s="4">
        <v>2</v>
      </c>
      <c r="O200" t="s">
        <v>662</v>
      </c>
      <c r="P200" s="10" t="s">
        <v>12</v>
      </c>
      <c r="Q200" t="s">
        <v>12</v>
      </c>
      <c r="R200" t="s">
        <v>12</v>
      </c>
      <c r="S200" t="s">
        <v>12</v>
      </c>
      <c r="U200" s="10" t="s">
        <v>12</v>
      </c>
      <c r="V200" t="s">
        <v>12</v>
      </c>
      <c r="W200" t="s">
        <v>12</v>
      </c>
      <c r="X200" t="s">
        <v>12</v>
      </c>
      <c r="Z200" s="10" t="s">
        <v>12</v>
      </c>
      <c r="AA200" t="s">
        <v>12</v>
      </c>
      <c r="AB200" t="s">
        <v>12</v>
      </c>
      <c r="AC200" t="s">
        <v>12</v>
      </c>
      <c r="AE200" s="10" t="s">
        <v>12</v>
      </c>
      <c r="AF200" t="s">
        <v>12</v>
      </c>
      <c r="AG200" t="s">
        <v>12</v>
      </c>
      <c r="AH200" t="s">
        <v>12</v>
      </c>
      <c r="AJ200" s="10" t="s">
        <v>12</v>
      </c>
      <c r="AK200" t="s">
        <v>12</v>
      </c>
      <c r="AL200" t="s">
        <v>12</v>
      </c>
      <c r="AM200" t="s">
        <v>12</v>
      </c>
    </row>
    <row r="201" spans="1:39" x14ac:dyDescent="0.25">
      <c r="A201" s="4" t="s">
        <v>483</v>
      </c>
      <c r="B201" s="4"/>
      <c r="C201" s="4" t="s">
        <v>484</v>
      </c>
      <c r="D201" s="4" t="s">
        <v>485</v>
      </c>
      <c r="E201" s="4" t="s">
        <v>949</v>
      </c>
      <c r="F201" s="4" t="s">
        <v>68</v>
      </c>
      <c r="G201" s="4"/>
      <c r="H201" s="4"/>
      <c r="I201" t="s">
        <v>925</v>
      </c>
      <c r="J201" s="17">
        <f t="shared" si="5"/>
        <v>3</v>
      </c>
      <c r="K201" s="10" t="s">
        <v>700</v>
      </c>
      <c r="L201">
        <v>3</v>
      </c>
      <c r="M201" s="3">
        <v>1</v>
      </c>
      <c r="N201">
        <v>3</v>
      </c>
      <c r="O201" t="s">
        <v>661</v>
      </c>
      <c r="P201" s="10" t="s">
        <v>12</v>
      </c>
      <c r="Q201" t="s">
        <v>12</v>
      </c>
      <c r="R201" t="s">
        <v>12</v>
      </c>
      <c r="S201" t="s">
        <v>12</v>
      </c>
      <c r="U201" s="10" t="s">
        <v>12</v>
      </c>
      <c r="V201" t="s">
        <v>12</v>
      </c>
      <c r="W201" t="s">
        <v>12</v>
      </c>
      <c r="X201" t="s">
        <v>12</v>
      </c>
      <c r="Z201" s="10" t="s">
        <v>12</v>
      </c>
      <c r="AA201" t="s">
        <v>12</v>
      </c>
      <c r="AB201" t="s">
        <v>12</v>
      </c>
      <c r="AC201" t="s">
        <v>12</v>
      </c>
      <c r="AE201" s="10" t="s">
        <v>12</v>
      </c>
      <c r="AF201" t="s">
        <v>12</v>
      </c>
      <c r="AG201" t="s">
        <v>12</v>
      </c>
      <c r="AH201" t="s">
        <v>12</v>
      </c>
      <c r="AJ201" s="10" t="s">
        <v>12</v>
      </c>
      <c r="AK201" t="s">
        <v>12</v>
      </c>
      <c r="AL201" t="s">
        <v>12</v>
      </c>
      <c r="AM201" t="s">
        <v>12</v>
      </c>
    </row>
    <row r="202" spans="1:39" x14ac:dyDescent="0.25">
      <c r="A202" s="4" t="s">
        <v>951</v>
      </c>
      <c r="B202" s="4"/>
      <c r="C202" s="4" t="s">
        <v>950</v>
      </c>
      <c r="D202" s="4" t="s">
        <v>952</v>
      </c>
      <c r="E202" s="4" t="s">
        <v>953</v>
      </c>
      <c r="F202" s="4" t="s">
        <v>649</v>
      </c>
      <c r="G202" s="4"/>
      <c r="H202" s="4"/>
      <c r="I202" s="4" t="s">
        <v>214</v>
      </c>
      <c r="J202" s="17">
        <f t="shared" si="5"/>
        <v>0</v>
      </c>
      <c r="K202" s="15" t="s">
        <v>648</v>
      </c>
      <c r="L202" s="4">
        <v>14</v>
      </c>
      <c r="M202" s="1">
        <v>0</v>
      </c>
      <c r="N202">
        <v>0</v>
      </c>
      <c r="O202" t="s">
        <v>81</v>
      </c>
      <c r="P202" s="10" t="s">
        <v>12</v>
      </c>
      <c r="Q202" t="s">
        <v>12</v>
      </c>
      <c r="R202" t="s">
        <v>12</v>
      </c>
      <c r="S202" t="s">
        <v>12</v>
      </c>
      <c r="U202" s="10" t="s">
        <v>12</v>
      </c>
      <c r="V202" t="s">
        <v>12</v>
      </c>
      <c r="W202" t="s">
        <v>12</v>
      </c>
      <c r="X202" t="s">
        <v>12</v>
      </c>
      <c r="Z202" s="10" t="s">
        <v>12</v>
      </c>
      <c r="AA202" t="s">
        <v>12</v>
      </c>
      <c r="AB202" t="s">
        <v>12</v>
      </c>
      <c r="AC202" t="s">
        <v>12</v>
      </c>
      <c r="AE202" s="10" t="s">
        <v>12</v>
      </c>
      <c r="AF202" t="s">
        <v>12</v>
      </c>
      <c r="AG202" t="s">
        <v>12</v>
      </c>
      <c r="AH202" t="s">
        <v>12</v>
      </c>
      <c r="AJ202" s="10" t="s">
        <v>12</v>
      </c>
      <c r="AK202" t="s">
        <v>12</v>
      </c>
      <c r="AL202" t="s">
        <v>12</v>
      </c>
      <c r="AM202" t="s">
        <v>12</v>
      </c>
    </row>
    <row r="203" spans="1:39" x14ac:dyDescent="0.25">
      <c r="A203" s="4" t="s">
        <v>486</v>
      </c>
      <c r="B203" s="4" t="s">
        <v>230</v>
      </c>
      <c r="C203" s="4" t="s">
        <v>487</v>
      </c>
      <c r="D203" s="4" t="s">
        <v>488</v>
      </c>
      <c r="E203" s="4" t="s">
        <v>955</v>
      </c>
      <c r="F203" s="4" t="s">
        <v>74</v>
      </c>
      <c r="G203" s="4" t="s">
        <v>956</v>
      </c>
      <c r="H203" s="4" t="s">
        <v>12</v>
      </c>
      <c r="I203" s="4">
        <v>1</v>
      </c>
      <c r="J203" s="17">
        <f t="shared" si="5"/>
        <v>4</v>
      </c>
      <c r="K203" s="15" t="s">
        <v>954</v>
      </c>
      <c r="L203" s="4">
        <v>160</v>
      </c>
      <c r="M203" s="3">
        <v>1</v>
      </c>
      <c r="N203" s="16">
        <v>4</v>
      </c>
      <c r="O203" t="s">
        <v>957</v>
      </c>
      <c r="P203" s="10" t="s">
        <v>12</v>
      </c>
      <c r="Q203" t="s">
        <v>12</v>
      </c>
      <c r="R203" t="s">
        <v>12</v>
      </c>
      <c r="S203" t="s">
        <v>12</v>
      </c>
      <c r="U203" s="10" t="s">
        <v>12</v>
      </c>
      <c r="V203" t="s">
        <v>12</v>
      </c>
      <c r="W203" t="s">
        <v>12</v>
      </c>
      <c r="X203" t="s">
        <v>12</v>
      </c>
      <c r="Z203" s="10" t="s">
        <v>12</v>
      </c>
      <c r="AA203" t="s">
        <v>12</v>
      </c>
      <c r="AB203" t="s">
        <v>12</v>
      </c>
      <c r="AC203" t="s">
        <v>12</v>
      </c>
      <c r="AE203" s="10" t="s">
        <v>12</v>
      </c>
      <c r="AF203" t="s">
        <v>12</v>
      </c>
      <c r="AG203" t="s">
        <v>12</v>
      </c>
      <c r="AH203" t="s">
        <v>12</v>
      </c>
      <c r="AJ203" s="10" t="s">
        <v>12</v>
      </c>
      <c r="AK203" t="s">
        <v>12</v>
      </c>
      <c r="AL203" t="s">
        <v>12</v>
      </c>
      <c r="AM203" t="s">
        <v>12</v>
      </c>
    </row>
    <row r="204" spans="1:39" x14ac:dyDescent="0.25">
      <c r="A204" s="4" t="s">
        <v>489</v>
      </c>
      <c r="B204" s="4"/>
      <c r="C204" s="4" t="s">
        <v>490</v>
      </c>
      <c r="D204" s="4" t="s">
        <v>491</v>
      </c>
      <c r="E204" s="4" t="s">
        <v>958</v>
      </c>
      <c r="F204" s="4" t="s">
        <v>132</v>
      </c>
      <c r="G204" s="4" t="s">
        <v>959</v>
      </c>
      <c r="H204" s="4" t="s">
        <v>12</v>
      </c>
      <c r="I204" s="4">
        <v>1</v>
      </c>
      <c r="J204" s="17">
        <f t="shared" si="5"/>
        <v>3</v>
      </c>
      <c r="K204" s="15" t="s">
        <v>844</v>
      </c>
      <c r="L204" s="4">
        <v>10</v>
      </c>
      <c r="M204" s="3">
        <v>1</v>
      </c>
      <c r="N204" s="16">
        <v>3</v>
      </c>
      <c r="O204" t="s">
        <v>661</v>
      </c>
      <c r="P204" s="10" t="s">
        <v>12</v>
      </c>
      <c r="Q204" t="s">
        <v>12</v>
      </c>
      <c r="R204" t="s">
        <v>12</v>
      </c>
      <c r="S204" t="s">
        <v>12</v>
      </c>
      <c r="U204" s="10" t="s">
        <v>12</v>
      </c>
      <c r="V204" t="s">
        <v>12</v>
      </c>
      <c r="W204" t="s">
        <v>12</v>
      </c>
      <c r="X204" t="s">
        <v>12</v>
      </c>
      <c r="Z204" s="10" t="s">
        <v>12</v>
      </c>
      <c r="AA204" t="s">
        <v>12</v>
      </c>
      <c r="AB204" t="s">
        <v>12</v>
      </c>
      <c r="AC204" t="s">
        <v>12</v>
      </c>
      <c r="AE204" s="10" t="s">
        <v>12</v>
      </c>
      <c r="AF204" t="s">
        <v>12</v>
      </c>
      <c r="AG204" t="s">
        <v>12</v>
      </c>
      <c r="AH204" t="s">
        <v>12</v>
      </c>
      <c r="AJ204" s="10" t="s">
        <v>12</v>
      </c>
      <c r="AK204" t="s">
        <v>12</v>
      </c>
      <c r="AL204" t="s">
        <v>12</v>
      </c>
      <c r="AM204" t="s">
        <v>12</v>
      </c>
    </row>
    <row r="205" spans="1:39" x14ac:dyDescent="0.25">
      <c r="A205" s="4" t="s">
        <v>492</v>
      </c>
      <c r="B205" s="4"/>
      <c r="C205" s="4" t="s">
        <v>493</v>
      </c>
      <c r="D205" s="4" t="s">
        <v>494</v>
      </c>
      <c r="E205" s="4" t="s">
        <v>960</v>
      </c>
      <c r="F205" s="4" t="s">
        <v>17</v>
      </c>
      <c r="G205" s="4"/>
      <c r="H205" s="4"/>
      <c r="I205" s="19" t="s">
        <v>171</v>
      </c>
      <c r="J205" s="17">
        <f t="shared" si="5"/>
        <v>0</v>
      </c>
      <c r="K205" s="10" t="s">
        <v>652</v>
      </c>
      <c r="L205">
        <v>257</v>
      </c>
      <c r="M205" s="1">
        <v>0</v>
      </c>
      <c r="N205">
        <v>0</v>
      </c>
      <c r="O205" t="s">
        <v>81</v>
      </c>
      <c r="P205" s="10" t="s">
        <v>12</v>
      </c>
      <c r="Q205" t="s">
        <v>12</v>
      </c>
      <c r="R205" t="s">
        <v>12</v>
      </c>
      <c r="S205" t="s">
        <v>12</v>
      </c>
      <c r="U205" s="10" t="s">
        <v>12</v>
      </c>
      <c r="V205" t="s">
        <v>12</v>
      </c>
      <c r="W205" t="s">
        <v>12</v>
      </c>
      <c r="X205" t="s">
        <v>12</v>
      </c>
      <c r="Z205" s="10" t="s">
        <v>12</v>
      </c>
      <c r="AA205" t="s">
        <v>12</v>
      </c>
      <c r="AB205" t="s">
        <v>12</v>
      </c>
      <c r="AC205" t="s">
        <v>12</v>
      </c>
      <c r="AE205" s="10" t="s">
        <v>12</v>
      </c>
      <c r="AF205" t="s">
        <v>12</v>
      </c>
      <c r="AG205" t="s">
        <v>12</v>
      </c>
      <c r="AH205" t="s">
        <v>12</v>
      </c>
      <c r="AJ205" s="10" t="s">
        <v>12</v>
      </c>
      <c r="AK205" t="s">
        <v>12</v>
      </c>
      <c r="AL205" t="s">
        <v>12</v>
      </c>
      <c r="AM205" t="s">
        <v>12</v>
      </c>
    </row>
    <row r="206" spans="1:39" x14ac:dyDescent="0.25">
      <c r="A206" s="4" t="s">
        <v>51</v>
      </c>
      <c r="B206" s="4"/>
      <c r="C206" s="4" t="s">
        <v>495</v>
      </c>
      <c r="D206" s="4" t="s">
        <v>137</v>
      </c>
      <c r="E206" s="4" t="s">
        <v>961</v>
      </c>
      <c r="F206" s="4" t="s">
        <v>115</v>
      </c>
      <c r="G206" s="4" t="s">
        <v>962</v>
      </c>
      <c r="H206" s="8" t="s">
        <v>963</v>
      </c>
      <c r="I206" s="4">
        <v>1</v>
      </c>
      <c r="J206" s="17">
        <f t="shared" si="5"/>
        <v>3</v>
      </c>
      <c r="K206" s="15" t="s">
        <v>626</v>
      </c>
      <c r="L206" s="4">
        <v>3</v>
      </c>
      <c r="M206" s="3">
        <v>1</v>
      </c>
      <c r="N206" s="16">
        <v>3</v>
      </c>
      <c r="O206" t="s">
        <v>661</v>
      </c>
      <c r="P206" s="10" t="s">
        <v>12</v>
      </c>
      <c r="Q206" t="s">
        <v>12</v>
      </c>
      <c r="R206" t="s">
        <v>12</v>
      </c>
      <c r="S206" t="s">
        <v>12</v>
      </c>
      <c r="U206" s="10" t="s">
        <v>12</v>
      </c>
      <c r="V206" t="s">
        <v>12</v>
      </c>
      <c r="W206" t="s">
        <v>12</v>
      </c>
      <c r="X206" t="s">
        <v>12</v>
      </c>
      <c r="Z206" s="10" t="s">
        <v>12</v>
      </c>
      <c r="AA206" t="s">
        <v>12</v>
      </c>
      <c r="AB206" t="s">
        <v>12</v>
      </c>
      <c r="AC206" t="s">
        <v>12</v>
      </c>
      <c r="AE206" s="10" t="s">
        <v>12</v>
      </c>
      <c r="AF206" t="s">
        <v>12</v>
      </c>
      <c r="AG206" t="s">
        <v>12</v>
      </c>
      <c r="AH206" t="s">
        <v>12</v>
      </c>
      <c r="AJ206" s="10" t="s">
        <v>12</v>
      </c>
      <c r="AK206" t="s">
        <v>12</v>
      </c>
      <c r="AL206" t="s">
        <v>12</v>
      </c>
      <c r="AM206" t="s">
        <v>12</v>
      </c>
    </row>
    <row r="207" spans="1:39" x14ac:dyDescent="0.25">
      <c r="A207" s="4" t="s">
        <v>496</v>
      </c>
      <c r="B207" s="4"/>
      <c r="C207" s="4" t="s">
        <v>497</v>
      </c>
      <c r="D207" s="4" t="s">
        <v>498</v>
      </c>
      <c r="E207" s="4" t="s">
        <v>964</v>
      </c>
      <c r="F207" s="4" t="s">
        <v>132</v>
      </c>
      <c r="G207" s="4"/>
      <c r="H207" s="4"/>
      <c r="I207" s="4" t="s">
        <v>130</v>
      </c>
      <c r="J207" s="17">
        <f t="shared" si="5"/>
        <v>0</v>
      </c>
      <c r="K207" s="10" t="s">
        <v>12</v>
      </c>
      <c r="L207" t="s">
        <v>12</v>
      </c>
      <c r="M207" s="2" t="s">
        <v>12</v>
      </c>
      <c r="N207" t="s">
        <v>12</v>
      </c>
      <c r="O207" s="4"/>
      <c r="P207" s="10" t="s">
        <v>12</v>
      </c>
      <c r="Q207" t="s">
        <v>12</v>
      </c>
      <c r="R207" t="s">
        <v>12</v>
      </c>
      <c r="S207" t="s">
        <v>12</v>
      </c>
      <c r="U207" s="10" t="s">
        <v>12</v>
      </c>
      <c r="V207" t="s">
        <v>12</v>
      </c>
      <c r="W207" t="s">
        <v>12</v>
      </c>
      <c r="X207" t="s">
        <v>12</v>
      </c>
      <c r="Z207" s="10" t="s">
        <v>12</v>
      </c>
      <c r="AA207" t="s">
        <v>12</v>
      </c>
      <c r="AB207" t="s">
        <v>12</v>
      </c>
      <c r="AC207" t="s">
        <v>12</v>
      </c>
      <c r="AE207" s="10" t="s">
        <v>625</v>
      </c>
      <c r="AF207">
        <v>28</v>
      </c>
      <c r="AG207">
        <v>0</v>
      </c>
      <c r="AH207">
        <v>0</v>
      </c>
      <c r="AJ207" s="10" t="s">
        <v>12</v>
      </c>
      <c r="AK207" t="s">
        <v>12</v>
      </c>
      <c r="AL207" t="s">
        <v>12</v>
      </c>
      <c r="AM207" t="s">
        <v>12</v>
      </c>
    </row>
    <row r="208" spans="1:39" x14ac:dyDescent="0.25">
      <c r="A208" s="4" t="s">
        <v>410</v>
      </c>
      <c r="B208" s="4" t="s">
        <v>70</v>
      </c>
      <c r="C208" s="4" t="s">
        <v>966</v>
      </c>
      <c r="D208" s="4" t="s">
        <v>967</v>
      </c>
      <c r="E208" s="4" t="s">
        <v>965</v>
      </c>
      <c r="F208" s="4" t="s">
        <v>56</v>
      </c>
      <c r="G208" s="4"/>
      <c r="H208" s="4"/>
      <c r="I208" t="s">
        <v>96</v>
      </c>
      <c r="J208" s="17">
        <f t="shared" si="5"/>
        <v>2</v>
      </c>
      <c r="K208" s="10" t="s">
        <v>616</v>
      </c>
      <c r="L208">
        <v>13</v>
      </c>
      <c r="M208" s="1">
        <v>1</v>
      </c>
      <c r="N208">
        <v>2</v>
      </c>
      <c r="O208" t="s">
        <v>662</v>
      </c>
      <c r="P208" s="10" t="s">
        <v>12</v>
      </c>
      <c r="Q208" t="s">
        <v>12</v>
      </c>
      <c r="R208" t="s">
        <v>12</v>
      </c>
      <c r="S208" t="s">
        <v>12</v>
      </c>
      <c r="U208" s="10" t="s">
        <v>12</v>
      </c>
      <c r="V208" t="s">
        <v>12</v>
      </c>
      <c r="W208" t="s">
        <v>12</v>
      </c>
      <c r="X208" t="s">
        <v>12</v>
      </c>
      <c r="Z208" s="10" t="s">
        <v>12</v>
      </c>
      <c r="AA208" t="s">
        <v>12</v>
      </c>
      <c r="AB208" t="s">
        <v>12</v>
      </c>
      <c r="AC208" t="s">
        <v>12</v>
      </c>
      <c r="AE208" s="10" t="s">
        <v>12</v>
      </c>
      <c r="AF208" t="s">
        <v>12</v>
      </c>
      <c r="AG208" t="s">
        <v>12</v>
      </c>
      <c r="AH208" t="s">
        <v>12</v>
      </c>
      <c r="AJ208" s="10" t="s">
        <v>12</v>
      </c>
      <c r="AK208" t="s">
        <v>12</v>
      </c>
      <c r="AL208" t="s">
        <v>12</v>
      </c>
      <c r="AM208" t="s">
        <v>12</v>
      </c>
    </row>
    <row r="209" spans="1:39" x14ac:dyDescent="0.25">
      <c r="A209" s="4" t="s">
        <v>410</v>
      </c>
      <c r="B209" s="4" t="s">
        <v>70</v>
      </c>
      <c r="C209" s="4" t="s">
        <v>966</v>
      </c>
      <c r="D209" s="4" t="s">
        <v>967</v>
      </c>
      <c r="E209" s="4" t="s">
        <v>965</v>
      </c>
      <c r="F209" s="4" t="s">
        <v>56</v>
      </c>
      <c r="G209" s="4"/>
      <c r="H209" s="4"/>
      <c r="I209" t="s">
        <v>96</v>
      </c>
      <c r="J209" s="17">
        <f t="shared" si="5"/>
        <v>0</v>
      </c>
      <c r="K209" s="10" t="s">
        <v>617</v>
      </c>
      <c r="L209">
        <v>6</v>
      </c>
      <c r="M209" s="1">
        <v>0</v>
      </c>
      <c r="N209">
        <v>0</v>
      </c>
      <c r="O209" t="s">
        <v>81</v>
      </c>
      <c r="P209" s="10" t="s">
        <v>12</v>
      </c>
      <c r="Q209" t="s">
        <v>12</v>
      </c>
      <c r="R209" t="s">
        <v>12</v>
      </c>
      <c r="S209" t="s">
        <v>12</v>
      </c>
      <c r="U209" s="10" t="s">
        <v>12</v>
      </c>
      <c r="V209" t="s">
        <v>12</v>
      </c>
      <c r="W209" t="s">
        <v>12</v>
      </c>
      <c r="X209" t="s">
        <v>12</v>
      </c>
      <c r="Z209" s="10" t="s">
        <v>12</v>
      </c>
      <c r="AA209" t="s">
        <v>12</v>
      </c>
      <c r="AB209" t="s">
        <v>12</v>
      </c>
      <c r="AC209" t="s">
        <v>12</v>
      </c>
      <c r="AE209" s="10" t="s">
        <v>12</v>
      </c>
      <c r="AF209" t="s">
        <v>12</v>
      </c>
      <c r="AG209" t="s">
        <v>12</v>
      </c>
      <c r="AH209" t="s">
        <v>12</v>
      </c>
      <c r="AJ209" s="10" t="s">
        <v>12</v>
      </c>
      <c r="AK209" t="s">
        <v>12</v>
      </c>
      <c r="AL209" t="s">
        <v>12</v>
      </c>
      <c r="AM209" t="s">
        <v>12</v>
      </c>
    </row>
    <row r="210" spans="1:39" x14ac:dyDescent="0.25">
      <c r="A210" s="4" t="s">
        <v>499</v>
      </c>
      <c r="B210" s="4" t="s">
        <v>500</v>
      </c>
      <c r="C210" s="4" t="s">
        <v>501</v>
      </c>
      <c r="D210" s="4" t="s">
        <v>502</v>
      </c>
      <c r="E210" s="4" t="s">
        <v>968</v>
      </c>
      <c r="F210" s="4" t="s">
        <v>62</v>
      </c>
      <c r="G210" s="4" t="s">
        <v>772</v>
      </c>
      <c r="H210" s="4" t="s">
        <v>12</v>
      </c>
      <c r="I210" s="4">
        <v>1</v>
      </c>
      <c r="J210" s="17">
        <f t="shared" si="5"/>
        <v>0</v>
      </c>
      <c r="K210" s="15" t="s">
        <v>969</v>
      </c>
      <c r="L210" s="4">
        <v>3443</v>
      </c>
      <c r="M210" s="4">
        <v>1</v>
      </c>
      <c r="N210" s="18">
        <v>0</v>
      </c>
      <c r="O210" s="4" t="s">
        <v>668</v>
      </c>
      <c r="P210" s="10" t="s">
        <v>12</v>
      </c>
      <c r="Q210" t="s">
        <v>12</v>
      </c>
      <c r="R210" t="s">
        <v>12</v>
      </c>
      <c r="S210" t="s">
        <v>12</v>
      </c>
      <c r="U210" s="10" t="s">
        <v>12</v>
      </c>
      <c r="V210" t="s">
        <v>12</v>
      </c>
      <c r="W210" t="s">
        <v>12</v>
      </c>
      <c r="X210" t="s">
        <v>12</v>
      </c>
      <c r="Z210" s="10" t="s">
        <v>12</v>
      </c>
      <c r="AA210" t="s">
        <v>12</v>
      </c>
      <c r="AB210" t="s">
        <v>12</v>
      </c>
      <c r="AC210" t="s">
        <v>12</v>
      </c>
      <c r="AE210" s="10" t="s">
        <v>12</v>
      </c>
      <c r="AF210" t="s">
        <v>12</v>
      </c>
      <c r="AG210" t="s">
        <v>12</v>
      </c>
      <c r="AH210" t="s">
        <v>12</v>
      </c>
      <c r="AJ210" s="10" t="s">
        <v>12</v>
      </c>
      <c r="AK210" t="s">
        <v>12</v>
      </c>
      <c r="AL210" t="s">
        <v>12</v>
      </c>
      <c r="AM210" t="s">
        <v>12</v>
      </c>
    </row>
    <row r="211" spans="1:39" x14ac:dyDescent="0.25">
      <c r="A211" s="4" t="s">
        <v>503</v>
      </c>
      <c r="B211" s="4"/>
      <c r="C211" s="4" t="s">
        <v>504</v>
      </c>
      <c r="D211" s="4" t="s">
        <v>505</v>
      </c>
      <c r="E211" s="4" t="s">
        <v>970</v>
      </c>
      <c r="F211" s="4" t="s">
        <v>676</v>
      </c>
      <c r="G211" s="4" t="s">
        <v>971</v>
      </c>
      <c r="H211" s="4" t="s">
        <v>12</v>
      </c>
      <c r="I211" s="4">
        <v>1</v>
      </c>
      <c r="J211" s="17">
        <f t="shared" si="5"/>
        <v>3</v>
      </c>
      <c r="K211" s="15" t="s">
        <v>675</v>
      </c>
      <c r="L211" s="4">
        <v>3</v>
      </c>
      <c r="M211" s="3">
        <v>1</v>
      </c>
      <c r="N211" s="16">
        <v>3</v>
      </c>
      <c r="O211" t="s">
        <v>661</v>
      </c>
      <c r="P211" s="10" t="s">
        <v>12</v>
      </c>
      <c r="Q211" t="s">
        <v>12</v>
      </c>
      <c r="R211" t="s">
        <v>12</v>
      </c>
      <c r="S211" t="s">
        <v>12</v>
      </c>
      <c r="U211" s="10" t="s">
        <v>12</v>
      </c>
      <c r="V211" t="s">
        <v>12</v>
      </c>
      <c r="W211" t="s">
        <v>12</v>
      </c>
      <c r="X211" t="s">
        <v>12</v>
      </c>
      <c r="Z211" s="10" t="s">
        <v>12</v>
      </c>
      <c r="AA211" t="s">
        <v>12</v>
      </c>
      <c r="AB211" t="s">
        <v>12</v>
      </c>
      <c r="AC211" t="s">
        <v>12</v>
      </c>
      <c r="AE211" s="10" t="s">
        <v>12</v>
      </c>
      <c r="AF211" t="s">
        <v>12</v>
      </c>
      <c r="AG211" t="s">
        <v>12</v>
      </c>
      <c r="AH211" t="s">
        <v>12</v>
      </c>
      <c r="AJ211" s="10" t="s">
        <v>12</v>
      </c>
      <c r="AK211" t="s">
        <v>12</v>
      </c>
      <c r="AL211" t="s">
        <v>12</v>
      </c>
      <c r="AM211" t="s">
        <v>12</v>
      </c>
    </row>
    <row r="212" spans="1:39" x14ac:dyDescent="0.25">
      <c r="A212" s="2"/>
      <c r="B212" s="2"/>
      <c r="C212" s="2" t="s">
        <v>506</v>
      </c>
      <c r="D212" s="2" t="s">
        <v>506</v>
      </c>
      <c r="E212" s="2"/>
      <c r="F212" s="2" t="s">
        <v>62</v>
      </c>
      <c r="G212" s="2"/>
      <c r="H212" s="2"/>
      <c r="I212" s="2" t="s">
        <v>242</v>
      </c>
      <c r="J212" s="13">
        <f t="shared" si="5"/>
        <v>0</v>
      </c>
      <c r="K212" s="11" t="s">
        <v>731</v>
      </c>
      <c r="L212" s="2">
        <v>252</v>
      </c>
      <c r="M212" s="2">
        <v>0</v>
      </c>
      <c r="N212" s="2">
        <v>0</v>
      </c>
      <c r="O212" s="2" t="s">
        <v>972</v>
      </c>
      <c r="P212" s="11" t="s">
        <v>12</v>
      </c>
      <c r="Q212" s="2" t="s">
        <v>12</v>
      </c>
      <c r="R212" s="2" t="s">
        <v>12</v>
      </c>
      <c r="S212" s="2" t="s">
        <v>12</v>
      </c>
      <c r="T212" s="2"/>
      <c r="U212" s="11" t="s">
        <v>730</v>
      </c>
      <c r="V212" s="2">
        <v>8061</v>
      </c>
      <c r="W212" s="2">
        <v>0</v>
      </c>
      <c r="X212" s="2">
        <v>0</v>
      </c>
      <c r="Y212" s="2"/>
      <c r="Z212" s="11" t="s">
        <v>12</v>
      </c>
      <c r="AA212" s="2" t="s">
        <v>12</v>
      </c>
      <c r="AB212" s="2" t="s">
        <v>12</v>
      </c>
      <c r="AC212" s="2" t="s">
        <v>12</v>
      </c>
      <c r="AD212" s="2"/>
      <c r="AE212" s="11" t="s">
        <v>12</v>
      </c>
      <c r="AF212" s="2" t="s">
        <v>12</v>
      </c>
      <c r="AG212" s="2" t="s">
        <v>12</v>
      </c>
      <c r="AH212" s="2" t="s">
        <v>12</v>
      </c>
      <c r="AI212" s="2"/>
      <c r="AJ212" s="11" t="s">
        <v>12</v>
      </c>
      <c r="AK212" s="2" t="s">
        <v>12</v>
      </c>
      <c r="AL212" s="2" t="s">
        <v>12</v>
      </c>
      <c r="AM212" s="2" t="s">
        <v>12</v>
      </c>
    </row>
    <row r="213" spans="1:39" x14ac:dyDescent="0.25">
      <c r="A213" s="2"/>
      <c r="B213" s="2"/>
      <c r="C213" s="2" t="s">
        <v>973</v>
      </c>
      <c r="D213" s="2" t="s">
        <v>973</v>
      </c>
      <c r="E213" s="2"/>
      <c r="F213" s="2" t="s">
        <v>90</v>
      </c>
      <c r="G213" s="2"/>
      <c r="H213" s="2"/>
      <c r="I213" s="2" t="s">
        <v>92</v>
      </c>
      <c r="J213" s="13">
        <f t="shared" si="5"/>
        <v>0</v>
      </c>
      <c r="K213" s="11" t="s">
        <v>613</v>
      </c>
      <c r="L213" s="2">
        <v>349</v>
      </c>
      <c r="M213" s="2">
        <v>1</v>
      </c>
      <c r="N213" s="20">
        <v>0</v>
      </c>
      <c r="O213" s="2" t="s">
        <v>974</v>
      </c>
      <c r="P213" s="11" t="s">
        <v>12</v>
      </c>
      <c r="Q213" s="2" t="s">
        <v>12</v>
      </c>
      <c r="R213" s="2" t="s">
        <v>12</v>
      </c>
      <c r="S213" s="2" t="s">
        <v>12</v>
      </c>
      <c r="T213" s="2"/>
      <c r="U213" s="11" t="s">
        <v>12</v>
      </c>
      <c r="V213" s="2" t="s">
        <v>12</v>
      </c>
      <c r="W213" s="2" t="s">
        <v>12</v>
      </c>
      <c r="X213" s="2" t="s">
        <v>12</v>
      </c>
      <c r="Y213" s="2"/>
      <c r="Z213" s="11" t="s">
        <v>12</v>
      </c>
      <c r="AA213" s="2" t="s">
        <v>12</v>
      </c>
      <c r="AB213" s="2" t="s">
        <v>12</v>
      </c>
      <c r="AC213" s="2" t="s">
        <v>12</v>
      </c>
      <c r="AD213" s="2"/>
      <c r="AE213" s="11" t="s">
        <v>12</v>
      </c>
      <c r="AF213" s="2" t="s">
        <v>12</v>
      </c>
      <c r="AG213" s="2" t="s">
        <v>12</v>
      </c>
      <c r="AH213" s="2" t="s">
        <v>12</v>
      </c>
      <c r="AI213" s="2"/>
      <c r="AJ213" s="11" t="s">
        <v>12</v>
      </c>
      <c r="AK213" s="2" t="s">
        <v>12</v>
      </c>
      <c r="AL213" s="2" t="s">
        <v>12</v>
      </c>
      <c r="AM213" s="2" t="s">
        <v>12</v>
      </c>
    </row>
    <row r="214" spans="1:39" x14ac:dyDescent="0.25">
      <c r="A214" s="4" t="s">
        <v>507</v>
      </c>
      <c r="B214" s="4"/>
      <c r="C214" s="4" t="s">
        <v>508</v>
      </c>
      <c r="D214" s="4" t="s">
        <v>509</v>
      </c>
      <c r="E214" s="4" t="s">
        <v>975</v>
      </c>
      <c r="F214" s="4" t="s">
        <v>825</v>
      </c>
      <c r="G214" s="4"/>
      <c r="H214" s="4"/>
      <c r="I214" s="4" t="s">
        <v>429</v>
      </c>
      <c r="J214" s="17">
        <f t="shared" si="5"/>
        <v>0</v>
      </c>
      <c r="K214" s="10" t="s">
        <v>12</v>
      </c>
      <c r="L214" t="s">
        <v>12</v>
      </c>
      <c r="M214" s="2" t="s">
        <v>12</v>
      </c>
      <c r="N214" t="s">
        <v>12</v>
      </c>
      <c r="O214" s="4"/>
      <c r="P214" s="10" t="s">
        <v>12</v>
      </c>
      <c r="Q214" t="s">
        <v>12</v>
      </c>
      <c r="R214" t="s">
        <v>12</v>
      </c>
      <c r="S214" t="s">
        <v>12</v>
      </c>
      <c r="T214" s="4"/>
      <c r="U214" s="15" t="s">
        <v>896</v>
      </c>
      <c r="V214" s="4">
        <v>9</v>
      </c>
      <c r="W214" s="4">
        <v>0</v>
      </c>
      <c r="X214" s="4">
        <v>0</v>
      </c>
      <c r="Z214" s="10" t="s">
        <v>897</v>
      </c>
      <c r="AA214">
        <v>1</v>
      </c>
      <c r="AB214">
        <v>0</v>
      </c>
      <c r="AC214">
        <v>0</v>
      </c>
      <c r="AE214" s="10" t="s">
        <v>12</v>
      </c>
      <c r="AF214" t="s">
        <v>12</v>
      </c>
      <c r="AG214" t="s">
        <v>12</v>
      </c>
      <c r="AH214" t="s">
        <v>12</v>
      </c>
      <c r="AJ214" s="10" t="s">
        <v>12</v>
      </c>
      <c r="AK214" t="s">
        <v>12</v>
      </c>
      <c r="AL214" t="s">
        <v>12</v>
      </c>
      <c r="AM214" t="s">
        <v>12</v>
      </c>
    </row>
    <row r="215" spans="1:39" x14ac:dyDescent="0.25">
      <c r="A215" s="4" t="s">
        <v>510</v>
      </c>
      <c r="B215" s="4"/>
      <c r="C215" s="4" t="s">
        <v>511</v>
      </c>
      <c r="D215" s="4" t="s">
        <v>512</v>
      </c>
      <c r="E215" s="4" t="s">
        <v>976</v>
      </c>
      <c r="F215" s="4" t="s">
        <v>74</v>
      </c>
      <c r="G215" s="4"/>
      <c r="H215" s="4"/>
      <c r="I215" s="4">
        <v>1</v>
      </c>
      <c r="J215" s="17">
        <f t="shared" si="5"/>
        <v>2</v>
      </c>
      <c r="K215" s="15" t="s">
        <v>977</v>
      </c>
      <c r="L215" s="4">
        <v>3</v>
      </c>
      <c r="M215" s="3">
        <v>1</v>
      </c>
      <c r="N215" s="4">
        <v>2</v>
      </c>
      <c r="O215" t="s">
        <v>662</v>
      </c>
      <c r="P215" s="10" t="s">
        <v>12</v>
      </c>
      <c r="Q215" t="s">
        <v>12</v>
      </c>
      <c r="R215" t="s">
        <v>12</v>
      </c>
      <c r="S215" t="s">
        <v>12</v>
      </c>
      <c r="U215" s="10" t="s">
        <v>12</v>
      </c>
      <c r="V215" t="s">
        <v>12</v>
      </c>
      <c r="W215" t="s">
        <v>12</v>
      </c>
      <c r="X215" t="s">
        <v>12</v>
      </c>
      <c r="Z215" s="10" t="s">
        <v>12</v>
      </c>
      <c r="AA215" t="s">
        <v>12</v>
      </c>
      <c r="AB215" t="s">
        <v>12</v>
      </c>
      <c r="AC215" t="s">
        <v>12</v>
      </c>
      <c r="AE215" s="10" t="s">
        <v>978</v>
      </c>
      <c r="AF215">
        <v>151</v>
      </c>
      <c r="AG215">
        <v>0</v>
      </c>
      <c r="AH215">
        <v>0</v>
      </c>
      <c r="AJ215" s="10" t="s">
        <v>12</v>
      </c>
      <c r="AK215" t="s">
        <v>12</v>
      </c>
      <c r="AL215" t="s">
        <v>12</v>
      </c>
      <c r="AM215" t="s">
        <v>12</v>
      </c>
    </row>
    <row r="216" spans="1:39" x14ac:dyDescent="0.25">
      <c r="A216" s="4" t="s">
        <v>232</v>
      </c>
      <c r="B216" s="4"/>
      <c r="C216" s="4" t="s">
        <v>513</v>
      </c>
      <c r="D216" s="4" t="s">
        <v>514</v>
      </c>
      <c r="E216" s="4" t="s">
        <v>979</v>
      </c>
      <c r="F216" s="4" t="s">
        <v>825</v>
      </c>
      <c r="G216" s="4"/>
      <c r="H216" s="4"/>
      <c r="I216" s="4" t="s">
        <v>409</v>
      </c>
      <c r="J216" s="17">
        <f t="shared" si="5"/>
        <v>0</v>
      </c>
      <c r="K216" s="10" t="s">
        <v>12</v>
      </c>
      <c r="L216" t="s">
        <v>12</v>
      </c>
      <c r="M216" s="2" t="s">
        <v>12</v>
      </c>
      <c r="N216" t="s">
        <v>12</v>
      </c>
      <c r="O216" s="4"/>
      <c r="P216" s="10" t="s">
        <v>12</v>
      </c>
      <c r="Q216" t="s">
        <v>12</v>
      </c>
      <c r="R216" t="s">
        <v>12</v>
      </c>
      <c r="S216" t="s">
        <v>12</v>
      </c>
      <c r="U216" s="10" t="s">
        <v>12</v>
      </c>
      <c r="V216" t="s">
        <v>12</v>
      </c>
      <c r="W216" t="s">
        <v>12</v>
      </c>
      <c r="X216" t="s">
        <v>12</v>
      </c>
      <c r="Z216" s="10" t="s">
        <v>12</v>
      </c>
      <c r="AA216" t="s">
        <v>12</v>
      </c>
      <c r="AB216" t="s">
        <v>12</v>
      </c>
      <c r="AC216" t="s">
        <v>12</v>
      </c>
      <c r="AE216" s="10" t="s">
        <v>880</v>
      </c>
      <c r="AF216">
        <v>62</v>
      </c>
      <c r="AG216">
        <v>0</v>
      </c>
      <c r="AH216">
        <v>0</v>
      </c>
      <c r="AJ216" s="10" t="s">
        <v>12</v>
      </c>
      <c r="AK216" t="s">
        <v>12</v>
      </c>
      <c r="AL216" t="s">
        <v>12</v>
      </c>
      <c r="AM216" t="s">
        <v>12</v>
      </c>
    </row>
    <row r="217" spans="1:39" x14ac:dyDescent="0.25">
      <c r="A217" s="4" t="s">
        <v>515</v>
      </c>
      <c r="B217" s="4"/>
      <c r="C217" s="4" t="s">
        <v>516</v>
      </c>
      <c r="D217" s="4" t="s">
        <v>517</v>
      </c>
      <c r="E217" s="4" t="s">
        <v>980</v>
      </c>
      <c r="F217" s="4" t="s">
        <v>90</v>
      </c>
      <c r="G217" s="4" t="s">
        <v>920</v>
      </c>
      <c r="H217" s="4" t="s">
        <v>981</v>
      </c>
      <c r="I217" s="4" t="s">
        <v>92</v>
      </c>
      <c r="J217" s="17">
        <f t="shared" si="5"/>
        <v>3</v>
      </c>
      <c r="K217" s="15" t="s">
        <v>900</v>
      </c>
      <c r="L217" s="4">
        <v>1</v>
      </c>
      <c r="M217" s="3">
        <v>1</v>
      </c>
      <c r="N217" s="16">
        <v>3</v>
      </c>
      <c r="O217" t="s">
        <v>661</v>
      </c>
      <c r="P217" s="10" t="s">
        <v>12</v>
      </c>
      <c r="Q217" t="s">
        <v>12</v>
      </c>
      <c r="R217" t="s">
        <v>12</v>
      </c>
      <c r="S217" t="s">
        <v>12</v>
      </c>
      <c r="U217" s="10" t="s">
        <v>12</v>
      </c>
      <c r="V217" t="s">
        <v>12</v>
      </c>
      <c r="W217" t="s">
        <v>12</v>
      </c>
      <c r="X217" t="s">
        <v>12</v>
      </c>
      <c r="Z217" s="10" t="s">
        <v>12</v>
      </c>
      <c r="AA217" t="s">
        <v>12</v>
      </c>
      <c r="AB217" t="s">
        <v>12</v>
      </c>
      <c r="AC217" t="s">
        <v>12</v>
      </c>
      <c r="AE217" s="10" t="s">
        <v>12</v>
      </c>
      <c r="AF217" t="s">
        <v>12</v>
      </c>
      <c r="AG217" t="s">
        <v>12</v>
      </c>
      <c r="AH217" t="s">
        <v>12</v>
      </c>
      <c r="AJ217" s="10" t="s">
        <v>12</v>
      </c>
      <c r="AK217" t="s">
        <v>12</v>
      </c>
      <c r="AL217" t="s">
        <v>12</v>
      </c>
      <c r="AM217" t="s">
        <v>12</v>
      </c>
    </row>
    <row r="218" spans="1:39" x14ac:dyDescent="0.25">
      <c r="A218" s="4" t="s">
        <v>515</v>
      </c>
      <c r="B218" s="4"/>
      <c r="C218" s="4" t="s">
        <v>516</v>
      </c>
      <c r="D218" s="4" t="s">
        <v>517</v>
      </c>
      <c r="E218" s="4" t="s">
        <v>980</v>
      </c>
      <c r="F218" s="4" t="s">
        <v>90</v>
      </c>
      <c r="G218" s="4" t="s">
        <v>920</v>
      </c>
      <c r="H218" s="4" t="s">
        <v>981</v>
      </c>
      <c r="I218" s="4" t="s">
        <v>92</v>
      </c>
      <c r="J218" s="17">
        <f t="shared" si="5"/>
        <v>2</v>
      </c>
      <c r="K218" s="15" t="s">
        <v>613</v>
      </c>
      <c r="L218" s="4">
        <v>349</v>
      </c>
      <c r="M218" s="3">
        <v>1</v>
      </c>
      <c r="N218" s="16">
        <v>2</v>
      </c>
      <c r="O218" s="4" t="s">
        <v>914</v>
      </c>
      <c r="P218" s="10" t="s">
        <v>12</v>
      </c>
      <c r="Q218" t="s">
        <v>12</v>
      </c>
      <c r="R218" t="s">
        <v>12</v>
      </c>
      <c r="S218" t="s">
        <v>12</v>
      </c>
      <c r="T218" s="4"/>
      <c r="U218" s="15" t="s">
        <v>614</v>
      </c>
      <c r="V218" s="4">
        <v>60</v>
      </c>
      <c r="W218" s="4">
        <v>0</v>
      </c>
      <c r="X218" s="4">
        <v>0</v>
      </c>
      <c r="Z218" s="10" t="s">
        <v>12</v>
      </c>
      <c r="AA218" t="s">
        <v>12</v>
      </c>
      <c r="AB218" t="s">
        <v>12</v>
      </c>
      <c r="AC218" t="s">
        <v>12</v>
      </c>
      <c r="AE218" s="10" t="s">
        <v>615</v>
      </c>
      <c r="AF218">
        <v>10</v>
      </c>
      <c r="AG218">
        <v>0</v>
      </c>
      <c r="AH218">
        <v>0</v>
      </c>
      <c r="AJ218" s="10" t="s">
        <v>12</v>
      </c>
      <c r="AK218" t="s">
        <v>12</v>
      </c>
      <c r="AL218" t="s">
        <v>12</v>
      </c>
      <c r="AM218" t="s">
        <v>12</v>
      </c>
    </row>
    <row r="219" spans="1:39" x14ac:dyDescent="0.25">
      <c r="A219" s="4" t="s">
        <v>518</v>
      </c>
      <c r="B219" s="4"/>
      <c r="C219" s="4" t="s">
        <v>519</v>
      </c>
      <c r="D219" s="4" t="s">
        <v>63</v>
      </c>
      <c r="E219" s="4" t="s">
        <v>982</v>
      </c>
      <c r="F219" s="4" t="s">
        <v>62</v>
      </c>
      <c r="G219" s="4" t="s">
        <v>983</v>
      </c>
      <c r="H219" s="4" t="s">
        <v>12</v>
      </c>
      <c r="I219" s="4">
        <v>1</v>
      </c>
      <c r="J219" s="17">
        <f t="shared" si="5"/>
        <v>4</v>
      </c>
      <c r="K219" s="15" t="s">
        <v>606</v>
      </c>
      <c r="L219" s="4">
        <v>12</v>
      </c>
      <c r="M219" s="3">
        <v>1</v>
      </c>
      <c r="N219" s="16">
        <v>4</v>
      </c>
      <c r="O219" t="s">
        <v>957</v>
      </c>
      <c r="P219" s="10" t="s">
        <v>12</v>
      </c>
      <c r="Q219" t="s">
        <v>12</v>
      </c>
      <c r="R219" t="s">
        <v>12</v>
      </c>
      <c r="S219" t="s">
        <v>12</v>
      </c>
      <c r="U219" s="10" t="s">
        <v>12</v>
      </c>
      <c r="V219" t="s">
        <v>12</v>
      </c>
      <c r="W219" t="s">
        <v>12</v>
      </c>
      <c r="X219" t="s">
        <v>12</v>
      </c>
      <c r="Z219" s="10" t="s">
        <v>12</v>
      </c>
      <c r="AA219" t="s">
        <v>12</v>
      </c>
      <c r="AB219" t="s">
        <v>12</v>
      </c>
      <c r="AC219" t="s">
        <v>12</v>
      </c>
      <c r="AE219" s="10" t="s">
        <v>12</v>
      </c>
      <c r="AF219" t="s">
        <v>12</v>
      </c>
      <c r="AG219" t="s">
        <v>12</v>
      </c>
      <c r="AH219" t="s">
        <v>12</v>
      </c>
      <c r="AJ219" s="10" t="s">
        <v>12</v>
      </c>
      <c r="AK219" t="s">
        <v>12</v>
      </c>
      <c r="AL219" t="s">
        <v>12</v>
      </c>
      <c r="AM219" t="s">
        <v>12</v>
      </c>
    </row>
    <row r="220" spans="1:39" x14ac:dyDescent="0.25">
      <c r="A220" s="4" t="s">
        <v>518</v>
      </c>
      <c r="B220" s="4"/>
      <c r="C220" s="4" t="s">
        <v>519</v>
      </c>
      <c r="D220" s="4" t="s">
        <v>63</v>
      </c>
      <c r="E220" s="4" t="s">
        <v>982</v>
      </c>
      <c r="F220" s="4" t="s">
        <v>62</v>
      </c>
      <c r="G220" s="4" t="s">
        <v>983</v>
      </c>
      <c r="H220" s="4" t="s">
        <v>12</v>
      </c>
      <c r="I220" s="4" t="s">
        <v>216</v>
      </c>
      <c r="J220" s="17">
        <f t="shared" si="5"/>
        <v>2</v>
      </c>
      <c r="K220" s="10" t="s">
        <v>696</v>
      </c>
      <c r="L220">
        <v>28</v>
      </c>
      <c r="M220" s="3">
        <v>1</v>
      </c>
      <c r="N220">
        <v>2</v>
      </c>
      <c r="O220" t="s">
        <v>662</v>
      </c>
      <c r="P220" s="10" t="s">
        <v>12</v>
      </c>
      <c r="Q220" t="s">
        <v>12</v>
      </c>
      <c r="R220" t="s">
        <v>12</v>
      </c>
      <c r="S220" t="s">
        <v>12</v>
      </c>
      <c r="U220" s="10" t="s">
        <v>12</v>
      </c>
      <c r="V220" t="s">
        <v>12</v>
      </c>
      <c r="W220" t="s">
        <v>12</v>
      </c>
      <c r="X220" t="s">
        <v>12</v>
      </c>
      <c r="Z220" s="10" t="s">
        <v>12</v>
      </c>
      <c r="AA220" t="s">
        <v>12</v>
      </c>
      <c r="AB220" t="s">
        <v>12</v>
      </c>
      <c r="AC220" t="s">
        <v>12</v>
      </c>
      <c r="AE220" s="10" t="s">
        <v>12</v>
      </c>
      <c r="AF220" t="s">
        <v>12</v>
      </c>
      <c r="AG220" t="s">
        <v>12</v>
      </c>
      <c r="AH220" t="s">
        <v>12</v>
      </c>
      <c r="AJ220" s="10" t="s">
        <v>12</v>
      </c>
      <c r="AK220" t="s">
        <v>12</v>
      </c>
      <c r="AL220" t="s">
        <v>12</v>
      </c>
      <c r="AM220" t="s">
        <v>12</v>
      </c>
    </row>
    <row r="221" spans="1:39" x14ac:dyDescent="0.25">
      <c r="A221" s="4" t="s">
        <v>518</v>
      </c>
      <c r="B221" s="4"/>
      <c r="C221" s="4" t="s">
        <v>519</v>
      </c>
      <c r="D221" s="4" t="s">
        <v>63</v>
      </c>
      <c r="E221" s="4" t="s">
        <v>982</v>
      </c>
      <c r="F221" s="4" t="s">
        <v>62</v>
      </c>
      <c r="G221" s="4" t="s">
        <v>983</v>
      </c>
      <c r="H221" s="4" t="s">
        <v>12</v>
      </c>
      <c r="I221" s="4" t="s">
        <v>593</v>
      </c>
      <c r="J221" s="17">
        <f t="shared" si="5"/>
        <v>0</v>
      </c>
      <c r="K221" s="10" t="s">
        <v>12</v>
      </c>
      <c r="L221" t="s">
        <v>12</v>
      </c>
      <c r="M221" s="2" t="s">
        <v>12</v>
      </c>
      <c r="N221" t="s">
        <v>12</v>
      </c>
      <c r="O221" s="4"/>
      <c r="P221" s="10" t="s">
        <v>12</v>
      </c>
      <c r="Q221" t="s">
        <v>12</v>
      </c>
      <c r="R221" t="s">
        <v>12</v>
      </c>
      <c r="S221" t="s">
        <v>12</v>
      </c>
      <c r="U221" s="10" t="s">
        <v>697</v>
      </c>
      <c r="V221">
        <v>224</v>
      </c>
      <c r="W221">
        <v>0</v>
      </c>
      <c r="X221">
        <v>0</v>
      </c>
      <c r="Z221" s="10" t="s">
        <v>12</v>
      </c>
      <c r="AA221" t="s">
        <v>12</v>
      </c>
      <c r="AB221" t="s">
        <v>12</v>
      </c>
      <c r="AC221" t="s">
        <v>12</v>
      </c>
      <c r="AE221" s="10" t="s">
        <v>12</v>
      </c>
      <c r="AF221" t="s">
        <v>12</v>
      </c>
      <c r="AG221" t="s">
        <v>12</v>
      </c>
      <c r="AH221" t="s">
        <v>12</v>
      </c>
      <c r="AJ221" s="10" t="s">
        <v>12</v>
      </c>
      <c r="AK221" t="s">
        <v>12</v>
      </c>
      <c r="AL221" t="s">
        <v>12</v>
      </c>
      <c r="AM221" t="s">
        <v>12</v>
      </c>
    </row>
    <row r="222" spans="1:39" x14ac:dyDescent="0.25">
      <c r="A222" s="4" t="s">
        <v>520</v>
      </c>
      <c r="B222" s="4"/>
      <c r="C222" s="4" t="s">
        <v>521</v>
      </c>
      <c r="D222" s="4" t="s">
        <v>522</v>
      </c>
      <c r="E222" s="4" t="s">
        <v>984</v>
      </c>
      <c r="F222" s="4" t="s">
        <v>49</v>
      </c>
      <c r="G222" s="4"/>
      <c r="H222" s="4"/>
      <c r="I222" s="4">
        <v>1</v>
      </c>
      <c r="J222" s="17">
        <f t="shared" si="5"/>
        <v>0</v>
      </c>
      <c r="K222" s="10" t="s">
        <v>12</v>
      </c>
      <c r="L222" t="s">
        <v>12</v>
      </c>
      <c r="M222" s="2" t="s">
        <v>12</v>
      </c>
      <c r="N222" t="s">
        <v>12</v>
      </c>
      <c r="O222" s="4"/>
      <c r="P222" s="10" t="s">
        <v>12</v>
      </c>
      <c r="Q222" t="s">
        <v>12</v>
      </c>
      <c r="R222" t="s">
        <v>12</v>
      </c>
      <c r="S222" t="s">
        <v>12</v>
      </c>
      <c r="T222" s="4"/>
      <c r="U222" s="10" t="s">
        <v>12</v>
      </c>
      <c r="V222" t="s">
        <v>12</v>
      </c>
      <c r="W222" t="s">
        <v>12</v>
      </c>
      <c r="X222" t="s">
        <v>12</v>
      </c>
      <c r="Z222" s="10" t="s">
        <v>12</v>
      </c>
      <c r="AA222" t="s">
        <v>12</v>
      </c>
      <c r="AB222" t="s">
        <v>12</v>
      </c>
      <c r="AC222" t="s">
        <v>12</v>
      </c>
      <c r="AE222" s="10" t="s">
        <v>985</v>
      </c>
      <c r="AF222">
        <v>7</v>
      </c>
      <c r="AG222">
        <v>0</v>
      </c>
      <c r="AH222">
        <v>0</v>
      </c>
      <c r="AJ222" s="10" t="s">
        <v>12</v>
      </c>
      <c r="AK222" t="s">
        <v>12</v>
      </c>
      <c r="AL222" t="s">
        <v>12</v>
      </c>
      <c r="AM222" t="s">
        <v>12</v>
      </c>
    </row>
    <row r="223" spans="1:39" x14ac:dyDescent="0.25">
      <c r="A223" s="4" t="s">
        <v>523</v>
      </c>
      <c r="B223" s="4"/>
      <c r="C223" s="4" t="s">
        <v>524</v>
      </c>
      <c r="D223" s="4" t="s">
        <v>525</v>
      </c>
      <c r="E223" s="4" t="s">
        <v>986</v>
      </c>
      <c r="F223" s="4" t="s">
        <v>654</v>
      </c>
      <c r="G223" s="4"/>
      <c r="H223" s="4"/>
      <c r="I223" s="4" t="s">
        <v>670</v>
      </c>
      <c r="J223" s="17">
        <f t="shared" si="5"/>
        <v>0</v>
      </c>
      <c r="K223" s="10" t="s">
        <v>12</v>
      </c>
      <c r="L223" t="s">
        <v>12</v>
      </c>
      <c r="M223" s="2" t="s">
        <v>12</v>
      </c>
      <c r="N223" t="s">
        <v>12</v>
      </c>
      <c r="O223" s="4"/>
      <c r="P223" s="10" t="s">
        <v>12</v>
      </c>
      <c r="Q223" t="s">
        <v>12</v>
      </c>
      <c r="R223" t="s">
        <v>12</v>
      </c>
      <c r="S223" t="s">
        <v>12</v>
      </c>
      <c r="T223" s="4"/>
      <c r="U223" s="10" t="s">
        <v>12</v>
      </c>
      <c r="V223" t="s">
        <v>12</v>
      </c>
      <c r="W223" t="s">
        <v>12</v>
      </c>
      <c r="X223" t="s">
        <v>12</v>
      </c>
      <c r="Z223" s="10" t="s">
        <v>12</v>
      </c>
      <c r="AA223" t="s">
        <v>12</v>
      </c>
      <c r="AB223" t="s">
        <v>12</v>
      </c>
      <c r="AC223" t="s">
        <v>12</v>
      </c>
      <c r="AE223" s="10" t="s">
        <v>671</v>
      </c>
      <c r="AF223">
        <v>47</v>
      </c>
      <c r="AG223">
        <v>0</v>
      </c>
      <c r="AH223">
        <v>0</v>
      </c>
      <c r="AJ223" s="10" t="s">
        <v>12</v>
      </c>
      <c r="AK223" t="s">
        <v>12</v>
      </c>
      <c r="AL223" t="s">
        <v>12</v>
      </c>
      <c r="AM223" t="s">
        <v>12</v>
      </c>
    </row>
    <row r="224" spans="1:39" x14ac:dyDescent="0.25">
      <c r="A224" s="4" t="s">
        <v>526</v>
      </c>
      <c r="B224" s="4"/>
      <c r="C224" s="4" t="s">
        <v>527</v>
      </c>
      <c r="D224" s="4" t="s">
        <v>528</v>
      </c>
      <c r="E224" s="4" t="s">
        <v>987</v>
      </c>
      <c r="F224" s="4" t="s">
        <v>744</v>
      </c>
      <c r="G224" s="4"/>
      <c r="H224" s="4"/>
      <c r="I224" s="4">
        <v>1</v>
      </c>
      <c r="J224" s="17">
        <f t="shared" si="5"/>
        <v>0</v>
      </c>
      <c r="K224" s="10" t="s">
        <v>12</v>
      </c>
      <c r="L224" t="s">
        <v>12</v>
      </c>
      <c r="M224" s="2" t="s">
        <v>12</v>
      </c>
      <c r="N224" t="s">
        <v>12</v>
      </c>
      <c r="O224" s="4"/>
      <c r="P224" s="10" t="s">
        <v>12</v>
      </c>
      <c r="Q224" t="s">
        <v>12</v>
      </c>
      <c r="R224" t="s">
        <v>12</v>
      </c>
      <c r="S224" t="s">
        <v>12</v>
      </c>
      <c r="T224" s="4"/>
      <c r="U224" t="s">
        <v>988</v>
      </c>
      <c r="V224" s="4">
        <v>31</v>
      </c>
      <c r="W224" s="4">
        <v>0</v>
      </c>
      <c r="X224" s="4">
        <v>0</v>
      </c>
      <c r="Z224" t="s">
        <v>989</v>
      </c>
      <c r="AA224">
        <v>16</v>
      </c>
      <c r="AB224" s="4">
        <v>0</v>
      </c>
      <c r="AC224" s="4">
        <v>0</v>
      </c>
      <c r="AE224" s="10" t="s">
        <v>12</v>
      </c>
      <c r="AF224" t="s">
        <v>12</v>
      </c>
      <c r="AG224" t="s">
        <v>12</v>
      </c>
      <c r="AH224" t="s">
        <v>12</v>
      </c>
      <c r="AJ224" s="10" t="s">
        <v>12</v>
      </c>
      <c r="AK224" t="s">
        <v>12</v>
      </c>
      <c r="AL224" t="s">
        <v>12</v>
      </c>
      <c r="AM224" t="s">
        <v>12</v>
      </c>
    </row>
    <row r="225" spans="1:39" x14ac:dyDescent="0.25">
      <c r="A225" s="4" t="s">
        <v>526</v>
      </c>
      <c r="B225" s="4"/>
      <c r="C225" s="4" t="s">
        <v>527</v>
      </c>
      <c r="D225" s="4" t="s">
        <v>528</v>
      </c>
      <c r="E225" s="4" t="s">
        <v>987</v>
      </c>
      <c r="F225" s="4" t="s">
        <v>68</v>
      </c>
      <c r="G225" s="4"/>
      <c r="H225" s="4"/>
      <c r="I225" s="4">
        <v>1</v>
      </c>
      <c r="J225" s="17">
        <f t="shared" ref="J225" si="6">SUM(N225,X225,AH225)</f>
        <v>0</v>
      </c>
      <c r="K225" s="10" t="s">
        <v>12</v>
      </c>
      <c r="L225" t="s">
        <v>12</v>
      </c>
      <c r="M225" s="2" t="s">
        <v>12</v>
      </c>
      <c r="N225" t="s">
        <v>12</v>
      </c>
      <c r="O225" s="4"/>
      <c r="P225" s="10" t="s">
        <v>12</v>
      </c>
      <c r="Q225" t="s">
        <v>12</v>
      </c>
      <c r="R225" t="s">
        <v>12</v>
      </c>
      <c r="S225" t="s">
        <v>12</v>
      </c>
      <c r="T225" s="4"/>
      <c r="U225" s="10" t="s">
        <v>12</v>
      </c>
      <c r="V225" t="s">
        <v>12</v>
      </c>
      <c r="W225" t="s">
        <v>12</v>
      </c>
      <c r="X225" t="s">
        <v>12</v>
      </c>
      <c r="Z225" t="s">
        <v>645</v>
      </c>
      <c r="AA225">
        <v>10</v>
      </c>
      <c r="AB225" s="4">
        <v>0</v>
      </c>
      <c r="AC225" s="4">
        <v>0</v>
      </c>
      <c r="AE225" s="10" t="s">
        <v>12</v>
      </c>
      <c r="AF225" t="s">
        <v>12</v>
      </c>
      <c r="AG225" t="s">
        <v>12</v>
      </c>
      <c r="AH225" t="s">
        <v>12</v>
      </c>
      <c r="AJ225" s="10" t="s">
        <v>12</v>
      </c>
      <c r="AK225" t="s">
        <v>12</v>
      </c>
      <c r="AL225" t="s">
        <v>12</v>
      </c>
      <c r="AM225" t="s">
        <v>12</v>
      </c>
    </row>
    <row r="226" spans="1:39" x14ac:dyDescent="0.25">
      <c r="A226" s="4" t="s">
        <v>529</v>
      </c>
      <c r="B226" s="4"/>
      <c r="C226" s="4" t="s">
        <v>530</v>
      </c>
      <c r="D226" s="4" t="s">
        <v>531</v>
      </c>
      <c r="E226" s="4" t="s">
        <v>990</v>
      </c>
      <c r="F226" s="4" t="s">
        <v>858</v>
      </c>
      <c r="G226" s="4" t="s">
        <v>993</v>
      </c>
      <c r="H226" s="4" t="s">
        <v>12</v>
      </c>
      <c r="I226" s="4">
        <v>1</v>
      </c>
      <c r="J226" s="17">
        <f t="shared" si="5"/>
        <v>3</v>
      </c>
      <c r="K226" s="15" t="s">
        <v>991</v>
      </c>
      <c r="L226" s="4">
        <v>10</v>
      </c>
      <c r="M226" s="3">
        <v>1</v>
      </c>
      <c r="N226" s="4">
        <v>3</v>
      </c>
      <c r="O226" t="s">
        <v>661</v>
      </c>
      <c r="P226" s="15" t="s">
        <v>992</v>
      </c>
      <c r="Q226" s="16">
        <v>21</v>
      </c>
      <c r="R226" s="16">
        <v>0</v>
      </c>
      <c r="S226" s="16">
        <v>0</v>
      </c>
      <c r="T226" s="4"/>
      <c r="U226" s="10" t="s">
        <v>12</v>
      </c>
      <c r="V226" t="s">
        <v>12</v>
      </c>
      <c r="W226" t="s">
        <v>12</v>
      </c>
      <c r="X226" t="s">
        <v>12</v>
      </c>
      <c r="Z226" s="10" t="s">
        <v>12</v>
      </c>
      <c r="AA226" t="s">
        <v>12</v>
      </c>
      <c r="AB226" t="s">
        <v>12</v>
      </c>
      <c r="AC226" t="s">
        <v>12</v>
      </c>
      <c r="AE226" s="10" t="s">
        <v>12</v>
      </c>
      <c r="AF226" t="s">
        <v>12</v>
      </c>
      <c r="AG226" t="s">
        <v>12</v>
      </c>
      <c r="AH226" t="s">
        <v>12</v>
      </c>
      <c r="AJ226" s="10" t="s">
        <v>12</v>
      </c>
      <c r="AK226" t="s">
        <v>12</v>
      </c>
      <c r="AL226" t="s">
        <v>12</v>
      </c>
      <c r="AM226" t="s">
        <v>12</v>
      </c>
    </row>
    <row r="227" spans="1:39" x14ac:dyDescent="0.25">
      <c r="A227" s="4" t="s">
        <v>489</v>
      </c>
      <c r="B227" s="4" t="s">
        <v>532</v>
      </c>
      <c r="C227" s="4" t="s">
        <v>533</v>
      </c>
      <c r="D227" s="4" t="s">
        <v>534</v>
      </c>
      <c r="E227" s="4" t="s">
        <v>994</v>
      </c>
      <c r="F227" s="4" t="s">
        <v>68</v>
      </c>
      <c r="G227" s="4"/>
      <c r="H227" s="4"/>
      <c r="I227" s="4" t="s">
        <v>942</v>
      </c>
      <c r="J227" s="17">
        <f t="shared" si="5"/>
        <v>0</v>
      </c>
      <c r="K227" s="10" t="s">
        <v>12</v>
      </c>
      <c r="L227" t="s">
        <v>12</v>
      </c>
      <c r="M227" s="2" t="s">
        <v>12</v>
      </c>
      <c r="N227" t="s">
        <v>12</v>
      </c>
      <c r="O227" s="4"/>
      <c r="P227" s="10" t="s">
        <v>12</v>
      </c>
      <c r="Q227" t="s">
        <v>12</v>
      </c>
      <c r="R227" t="s">
        <v>12</v>
      </c>
      <c r="S227" t="s">
        <v>12</v>
      </c>
      <c r="T227" s="4"/>
      <c r="U227" s="10" t="s">
        <v>12</v>
      </c>
      <c r="V227" t="s">
        <v>12</v>
      </c>
      <c r="W227" t="s">
        <v>12</v>
      </c>
      <c r="X227" t="s">
        <v>12</v>
      </c>
      <c r="Z227" s="10" t="s">
        <v>12</v>
      </c>
      <c r="AA227" t="s">
        <v>12</v>
      </c>
      <c r="AB227" t="s">
        <v>12</v>
      </c>
      <c r="AC227" t="s">
        <v>12</v>
      </c>
      <c r="AE227" s="10" t="s">
        <v>12</v>
      </c>
      <c r="AF227" t="s">
        <v>12</v>
      </c>
      <c r="AG227" t="s">
        <v>12</v>
      </c>
      <c r="AH227" t="s">
        <v>12</v>
      </c>
      <c r="AJ227" s="10" t="s">
        <v>799</v>
      </c>
      <c r="AK227">
        <v>1</v>
      </c>
      <c r="AL227">
        <v>0</v>
      </c>
      <c r="AM227">
        <v>0</v>
      </c>
    </row>
    <row r="228" spans="1:39" x14ac:dyDescent="0.25">
      <c r="A228" s="4" t="s">
        <v>535</v>
      </c>
      <c r="B228" s="4"/>
      <c r="C228" s="4" t="s">
        <v>536</v>
      </c>
      <c r="D228" s="4" t="s">
        <v>537</v>
      </c>
      <c r="E228" s="4" t="s">
        <v>995</v>
      </c>
      <c r="F228" s="4" t="s">
        <v>56</v>
      </c>
      <c r="G228" s="4"/>
      <c r="H228" s="4"/>
      <c r="I228" s="4" t="s">
        <v>598</v>
      </c>
      <c r="J228" s="17">
        <f t="shared" si="5"/>
        <v>0</v>
      </c>
      <c r="K228" s="10" t="s">
        <v>12</v>
      </c>
      <c r="L228" t="s">
        <v>12</v>
      </c>
      <c r="M228" s="2" t="s">
        <v>12</v>
      </c>
      <c r="N228" t="s">
        <v>12</v>
      </c>
      <c r="O228" s="4"/>
      <c r="P228" s="10" t="s">
        <v>12</v>
      </c>
      <c r="Q228" t="s">
        <v>12</v>
      </c>
      <c r="R228" t="s">
        <v>12</v>
      </c>
      <c r="S228" t="s">
        <v>12</v>
      </c>
      <c r="T228" s="4"/>
      <c r="U228" s="10" t="s">
        <v>12</v>
      </c>
      <c r="V228" t="s">
        <v>12</v>
      </c>
      <c r="W228" t="s">
        <v>12</v>
      </c>
      <c r="X228" t="s">
        <v>12</v>
      </c>
      <c r="Z228" s="10" t="s">
        <v>12</v>
      </c>
      <c r="AA228" t="s">
        <v>12</v>
      </c>
      <c r="AB228" t="s">
        <v>12</v>
      </c>
      <c r="AC228" t="s">
        <v>12</v>
      </c>
      <c r="AE228" s="10" t="s">
        <v>882</v>
      </c>
      <c r="AF228">
        <v>16</v>
      </c>
      <c r="AG228">
        <v>0</v>
      </c>
      <c r="AH228">
        <v>0</v>
      </c>
      <c r="AJ228" s="10" t="s">
        <v>12</v>
      </c>
      <c r="AK228" t="s">
        <v>12</v>
      </c>
      <c r="AL228" t="s">
        <v>12</v>
      </c>
      <c r="AM228" t="s">
        <v>12</v>
      </c>
    </row>
    <row r="229" spans="1:39" x14ac:dyDescent="0.25">
      <c r="A229" s="4" t="s">
        <v>538</v>
      </c>
      <c r="B229" s="4"/>
      <c r="C229" s="4" t="s">
        <v>539</v>
      </c>
      <c r="D229" s="4" t="s">
        <v>540</v>
      </c>
      <c r="E229" s="4" t="s">
        <v>996</v>
      </c>
      <c r="F229" s="4" t="s">
        <v>49</v>
      </c>
      <c r="G229" s="4"/>
      <c r="H229" s="4"/>
      <c r="I229" s="4">
        <v>1</v>
      </c>
      <c r="J229" s="17">
        <f t="shared" si="5"/>
        <v>0</v>
      </c>
      <c r="K229" s="15" t="s">
        <v>997</v>
      </c>
      <c r="L229" s="4" t="s">
        <v>998</v>
      </c>
      <c r="M229" s="1">
        <v>0</v>
      </c>
      <c r="N229">
        <v>0</v>
      </c>
      <c r="O229" t="s">
        <v>81</v>
      </c>
      <c r="P229" s="10" t="s">
        <v>12</v>
      </c>
      <c r="Q229" t="s">
        <v>12</v>
      </c>
      <c r="R229" t="s">
        <v>12</v>
      </c>
      <c r="S229" t="s">
        <v>12</v>
      </c>
      <c r="T229" s="4"/>
      <c r="U229" s="10" t="s">
        <v>12</v>
      </c>
      <c r="V229" t="s">
        <v>12</v>
      </c>
      <c r="W229" t="s">
        <v>12</v>
      </c>
      <c r="X229" t="s">
        <v>12</v>
      </c>
      <c r="Z229" s="10" t="s">
        <v>12</v>
      </c>
      <c r="AA229" t="s">
        <v>12</v>
      </c>
      <c r="AB229" t="s">
        <v>12</v>
      </c>
      <c r="AC229" t="s">
        <v>12</v>
      </c>
      <c r="AE229" s="10" t="s">
        <v>999</v>
      </c>
      <c r="AF229">
        <v>14</v>
      </c>
      <c r="AG229">
        <v>0</v>
      </c>
      <c r="AH229">
        <v>0</v>
      </c>
      <c r="AJ229" s="10" t="s">
        <v>12</v>
      </c>
      <c r="AK229" t="s">
        <v>12</v>
      </c>
      <c r="AL229" t="s">
        <v>12</v>
      </c>
      <c r="AM229" t="s">
        <v>12</v>
      </c>
    </row>
    <row r="230" spans="1:39" x14ac:dyDescent="0.25">
      <c r="A230" s="4" t="s">
        <v>541</v>
      </c>
      <c r="B230" s="4"/>
      <c r="C230" s="4" t="s">
        <v>542</v>
      </c>
      <c r="D230" s="4" t="s">
        <v>543</v>
      </c>
      <c r="E230" s="4" t="s">
        <v>1000</v>
      </c>
      <c r="F230" s="4" t="s">
        <v>708</v>
      </c>
      <c r="G230" s="4" t="s">
        <v>709</v>
      </c>
      <c r="H230" s="4" t="s">
        <v>12</v>
      </c>
      <c r="I230" s="4" t="s">
        <v>575</v>
      </c>
      <c r="J230" s="17">
        <f t="shared" si="5"/>
        <v>3</v>
      </c>
      <c r="K230" s="15" t="s">
        <v>1001</v>
      </c>
      <c r="L230" s="4">
        <v>1</v>
      </c>
      <c r="M230" s="3">
        <v>1</v>
      </c>
      <c r="N230" s="4">
        <v>3</v>
      </c>
      <c r="O230" t="s">
        <v>661</v>
      </c>
      <c r="P230" s="10" t="s">
        <v>12</v>
      </c>
      <c r="Q230" t="s">
        <v>12</v>
      </c>
      <c r="R230" t="s">
        <v>12</v>
      </c>
      <c r="S230" t="s">
        <v>12</v>
      </c>
      <c r="U230" s="10" t="s">
        <v>12</v>
      </c>
      <c r="V230" t="s">
        <v>12</v>
      </c>
      <c r="W230" t="s">
        <v>12</v>
      </c>
      <c r="X230" t="s">
        <v>12</v>
      </c>
      <c r="Z230" s="10" t="s">
        <v>12</v>
      </c>
      <c r="AA230" t="s">
        <v>12</v>
      </c>
      <c r="AB230" t="s">
        <v>12</v>
      </c>
      <c r="AC230" t="s">
        <v>12</v>
      </c>
      <c r="AE230" s="10" t="s">
        <v>12</v>
      </c>
      <c r="AF230" t="s">
        <v>12</v>
      </c>
      <c r="AG230" t="s">
        <v>12</v>
      </c>
      <c r="AH230" t="s">
        <v>12</v>
      </c>
      <c r="AJ230" s="10" t="s">
        <v>12</v>
      </c>
      <c r="AK230" t="s">
        <v>12</v>
      </c>
      <c r="AL230" t="s">
        <v>12</v>
      </c>
      <c r="AM230" t="s">
        <v>12</v>
      </c>
    </row>
    <row r="231" spans="1:39" x14ac:dyDescent="0.25">
      <c r="A231" s="4" t="s">
        <v>544</v>
      </c>
      <c r="B231" s="4"/>
      <c r="C231" s="4" t="s">
        <v>545</v>
      </c>
      <c r="D231" s="4" t="s">
        <v>546</v>
      </c>
      <c r="E231" s="4" t="s">
        <v>1002</v>
      </c>
      <c r="F231" s="4" t="s">
        <v>692</v>
      </c>
      <c r="G231" s="4" t="s">
        <v>689</v>
      </c>
      <c r="H231" s="4" t="s">
        <v>12</v>
      </c>
      <c r="I231" s="4">
        <v>1</v>
      </c>
      <c r="J231" s="17">
        <f t="shared" si="5"/>
        <v>3</v>
      </c>
      <c r="K231" s="10" t="s">
        <v>690</v>
      </c>
      <c r="L231">
        <v>15</v>
      </c>
      <c r="M231" s="1">
        <v>1</v>
      </c>
      <c r="N231">
        <v>3</v>
      </c>
      <c r="O231" t="s">
        <v>661</v>
      </c>
      <c r="P231" s="10" t="s">
        <v>12</v>
      </c>
      <c r="Q231" t="s">
        <v>12</v>
      </c>
      <c r="R231" t="s">
        <v>12</v>
      </c>
      <c r="S231" t="s">
        <v>12</v>
      </c>
      <c r="U231" s="10" t="s">
        <v>12</v>
      </c>
      <c r="V231" t="s">
        <v>12</v>
      </c>
      <c r="W231" t="s">
        <v>12</v>
      </c>
      <c r="X231" t="s">
        <v>12</v>
      </c>
      <c r="Z231" s="10" t="s">
        <v>12</v>
      </c>
      <c r="AA231" t="s">
        <v>12</v>
      </c>
      <c r="AB231" t="s">
        <v>12</v>
      </c>
      <c r="AC231" t="s">
        <v>12</v>
      </c>
      <c r="AE231" s="10" t="s">
        <v>1003</v>
      </c>
      <c r="AF231">
        <v>8</v>
      </c>
      <c r="AG231">
        <v>0</v>
      </c>
      <c r="AH231">
        <v>0</v>
      </c>
      <c r="AJ231" s="10" t="s">
        <v>12</v>
      </c>
      <c r="AK231" t="s">
        <v>12</v>
      </c>
      <c r="AL231" t="s">
        <v>12</v>
      </c>
      <c r="AM231" t="s">
        <v>12</v>
      </c>
    </row>
    <row r="232" spans="1:39" x14ac:dyDescent="0.25">
      <c r="A232" s="4" t="s">
        <v>547</v>
      </c>
      <c r="B232" s="4"/>
      <c r="C232" s="4" t="s">
        <v>548</v>
      </c>
      <c r="D232" s="4" t="s">
        <v>549</v>
      </c>
      <c r="E232" s="4" t="s">
        <v>1004</v>
      </c>
      <c r="F232" s="4" t="s">
        <v>708</v>
      </c>
      <c r="G232" s="4"/>
      <c r="H232" s="4"/>
      <c r="I232" s="4" t="s">
        <v>575</v>
      </c>
      <c r="J232" s="17">
        <f t="shared" si="5"/>
        <v>2</v>
      </c>
      <c r="K232" s="15" t="s">
        <v>1001</v>
      </c>
      <c r="L232" s="4">
        <v>1</v>
      </c>
      <c r="M232" s="3">
        <v>1</v>
      </c>
      <c r="N232" s="4">
        <v>2</v>
      </c>
      <c r="O232" t="s">
        <v>662</v>
      </c>
      <c r="P232" s="10" t="s">
        <v>12</v>
      </c>
      <c r="Q232" t="s">
        <v>12</v>
      </c>
      <c r="R232" t="s">
        <v>12</v>
      </c>
      <c r="S232" t="s">
        <v>12</v>
      </c>
      <c r="U232" s="10" t="s">
        <v>12</v>
      </c>
      <c r="V232" t="s">
        <v>12</v>
      </c>
      <c r="W232" t="s">
        <v>12</v>
      </c>
      <c r="X232" t="s">
        <v>12</v>
      </c>
      <c r="Z232" s="10" t="s">
        <v>12</v>
      </c>
      <c r="AA232" t="s">
        <v>12</v>
      </c>
      <c r="AB232" t="s">
        <v>12</v>
      </c>
      <c r="AC232" t="s">
        <v>12</v>
      </c>
      <c r="AE232" s="10" t="s">
        <v>12</v>
      </c>
      <c r="AF232" t="s">
        <v>12</v>
      </c>
      <c r="AG232" t="s">
        <v>12</v>
      </c>
      <c r="AH232" t="s">
        <v>12</v>
      </c>
      <c r="AJ232" s="10" t="s">
        <v>12</v>
      </c>
      <c r="AK232" t="s">
        <v>12</v>
      </c>
      <c r="AL232" t="s">
        <v>12</v>
      </c>
      <c r="AM232" t="s">
        <v>12</v>
      </c>
    </row>
    <row r="233" spans="1:39" x14ac:dyDescent="0.25">
      <c r="A233" s="4" t="s">
        <v>550</v>
      </c>
      <c r="B233" s="4" t="s">
        <v>1007</v>
      </c>
      <c r="C233" s="4" t="s">
        <v>551</v>
      </c>
      <c r="D233" s="4" t="s">
        <v>1008</v>
      </c>
      <c r="E233" s="4" t="s">
        <v>1005</v>
      </c>
      <c r="F233" s="4" t="s">
        <v>764</v>
      </c>
      <c r="G233" s="4"/>
      <c r="H233" s="4"/>
      <c r="I233" s="4" t="s">
        <v>572</v>
      </c>
      <c r="J233" s="17">
        <f t="shared" si="5"/>
        <v>2</v>
      </c>
      <c r="K233" s="15" t="s">
        <v>1006</v>
      </c>
      <c r="L233" s="4">
        <v>54</v>
      </c>
      <c r="M233" s="3">
        <v>1</v>
      </c>
      <c r="N233" s="4">
        <v>2</v>
      </c>
      <c r="O233" t="s">
        <v>662</v>
      </c>
      <c r="P233" s="10" t="s">
        <v>12</v>
      </c>
      <c r="Q233" t="s">
        <v>12</v>
      </c>
      <c r="R233" t="s">
        <v>12</v>
      </c>
      <c r="S233" t="s">
        <v>12</v>
      </c>
      <c r="U233" s="10" t="s">
        <v>12</v>
      </c>
      <c r="V233" t="s">
        <v>12</v>
      </c>
      <c r="W233" t="s">
        <v>12</v>
      </c>
      <c r="X233" t="s">
        <v>12</v>
      </c>
      <c r="Z233" s="10" t="s">
        <v>12</v>
      </c>
      <c r="AA233" t="s">
        <v>12</v>
      </c>
      <c r="AB233" t="s">
        <v>12</v>
      </c>
      <c r="AC233" t="s">
        <v>12</v>
      </c>
      <c r="AE233" s="10" t="s">
        <v>12</v>
      </c>
      <c r="AF233" t="s">
        <v>12</v>
      </c>
      <c r="AG233" t="s">
        <v>12</v>
      </c>
      <c r="AH233" t="s">
        <v>12</v>
      </c>
      <c r="AJ233" s="10" t="s">
        <v>12</v>
      </c>
      <c r="AK233" t="s">
        <v>12</v>
      </c>
      <c r="AL233" t="s">
        <v>12</v>
      </c>
      <c r="AM233" t="s">
        <v>12</v>
      </c>
    </row>
    <row r="234" spans="1:39" x14ac:dyDescent="0.25">
      <c r="A234" s="4" t="s">
        <v>552</v>
      </c>
      <c r="B234" s="4"/>
      <c r="C234" s="4" t="s">
        <v>553</v>
      </c>
      <c r="D234" s="4" t="s">
        <v>554</v>
      </c>
      <c r="E234" s="4" t="s">
        <v>1009</v>
      </c>
      <c r="F234" s="4" t="s">
        <v>736</v>
      </c>
      <c r="G234" s="4" t="s">
        <v>1010</v>
      </c>
      <c r="H234" s="4" t="s">
        <v>12</v>
      </c>
      <c r="I234" t="s">
        <v>254</v>
      </c>
      <c r="J234" s="17">
        <f t="shared" si="5"/>
        <v>3</v>
      </c>
      <c r="K234" s="10" t="s">
        <v>754</v>
      </c>
      <c r="L234">
        <v>266</v>
      </c>
      <c r="M234" s="1">
        <v>1</v>
      </c>
      <c r="N234">
        <v>3</v>
      </c>
      <c r="O234" t="s">
        <v>755</v>
      </c>
      <c r="P234" s="10" t="s">
        <v>752</v>
      </c>
      <c r="Q234">
        <v>9</v>
      </c>
      <c r="R234">
        <v>0</v>
      </c>
      <c r="S234">
        <v>0</v>
      </c>
      <c r="U234" s="10" t="s">
        <v>738</v>
      </c>
      <c r="V234">
        <v>124</v>
      </c>
      <c r="W234">
        <v>0</v>
      </c>
      <c r="X234">
        <v>0</v>
      </c>
      <c r="Z234" s="10" t="s">
        <v>12</v>
      </c>
      <c r="AA234" t="s">
        <v>12</v>
      </c>
      <c r="AB234" t="s">
        <v>12</v>
      </c>
      <c r="AC234" t="s">
        <v>12</v>
      </c>
      <c r="AE234" s="10" t="s">
        <v>12</v>
      </c>
      <c r="AF234" t="s">
        <v>12</v>
      </c>
      <c r="AG234" t="s">
        <v>12</v>
      </c>
      <c r="AH234" t="s">
        <v>12</v>
      </c>
      <c r="AJ234" s="10" t="s">
        <v>12</v>
      </c>
      <c r="AK234" t="s">
        <v>12</v>
      </c>
      <c r="AL234" t="s">
        <v>12</v>
      </c>
      <c r="AM234" t="s">
        <v>12</v>
      </c>
    </row>
    <row r="235" spans="1:39" x14ac:dyDescent="0.25">
      <c r="A235" s="4" t="s">
        <v>552</v>
      </c>
      <c r="B235" s="4"/>
      <c r="C235" s="4" t="s">
        <v>553</v>
      </c>
      <c r="D235" s="4" t="s">
        <v>554</v>
      </c>
      <c r="E235" s="4" t="s">
        <v>1009</v>
      </c>
      <c r="F235" s="4" t="s">
        <v>736</v>
      </c>
      <c r="G235" s="4" t="s">
        <v>1010</v>
      </c>
      <c r="H235" s="4" t="s">
        <v>12</v>
      </c>
      <c r="I235" t="s">
        <v>254</v>
      </c>
      <c r="J235" s="17">
        <f t="shared" si="5"/>
        <v>0</v>
      </c>
      <c r="K235" s="10" t="s">
        <v>753</v>
      </c>
      <c r="L235">
        <v>2</v>
      </c>
      <c r="M235" s="4">
        <v>1</v>
      </c>
      <c r="N235" s="7">
        <v>0</v>
      </c>
      <c r="O235" t="s">
        <v>668</v>
      </c>
      <c r="P235" s="10" t="s">
        <v>12</v>
      </c>
      <c r="Q235" t="s">
        <v>12</v>
      </c>
      <c r="R235" t="s">
        <v>12</v>
      </c>
      <c r="S235" t="s">
        <v>12</v>
      </c>
      <c r="U235" s="10" t="s">
        <v>12</v>
      </c>
      <c r="V235" t="s">
        <v>12</v>
      </c>
      <c r="W235" t="s">
        <v>12</v>
      </c>
      <c r="X235" t="s">
        <v>12</v>
      </c>
      <c r="Z235" s="10" t="s">
        <v>12</v>
      </c>
      <c r="AA235" t="s">
        <v>12</v>
      </c>
      <c r="AB235" t="s">
        <v>12</v>
      </c>
      <c r="AC235" t="s">
        <v>12</v>
      </c>
      <c r="AE235" s="10" t="s">
        <v>12</v>
      </c>
      <c r="AF235" t="s">
        <v>12</v>
      </c>
      <c r="AG235" t="s">
        <v>12</v>
      </c>
      <c r="AH235" t="s">
        <v>12</v>
      </c>
      <c r="AJ235" s="10" t="s">
        <v>12</v>
      </c>
      <c r="AK235" t="s">
        <v>12</v>
      </c>
      <c r="AL235" t="s">
        <v>12</v>
      </c>
      <c r="AM235" t="s">
        <v>12</v>
      </c>
    </row>
    <row r="236" spans="1:39" x14ac:dyDescent="0.25">
      <c r="A236" s="4" t="s">
        <v>555</v>
      </c>
      <c r="B236" s="4"/>
      <c r="C236" s="4" t="s">
        <v>556</v>
      </c>
      <c r="D236" s="4" t="s">
        <v>557</v>
      </c>
      <c r="E236" s="4" t="s">
        <v>1011</v>
      </c>
      <c r="F236" s="4" t="s">
        <v>708</v>
      </c>
      <c r="G236" s="4"/>
      <c r="H236" s="4"/>
      <c r="I236" s="4">
        <v>1</v>
      </c>
      <c r="J236" s="17">
        <f t="shared" si="5"/>
        <v>2</v>
      </c>
      <c r="K236" s="15" t="s">
        <v>759</v>
      </c>
      <c r="L236" s="4">
        <v>3</v>
      </c>
      <c r="M236" s="3">
        <v>1</v>
      </c>
      <c r="N236" s="4">
        <v>2</v>
      </c>
      <c r="O236" t="s">
        <v>662</v>
      </c>
      <c r="P236" s="10" t="s">
        <v>12</v>
      </c>
      <c r="Q236" t="s">
        <v>12</v>
      </c>
      <c r="R236" t="s">
        <v>12</v>
      </c>
      <c r="S236" t="s">
        <v>12</v>
      </c>
      <c r="U236" s="10" t="s">
        <v>12</v>
      </c>
      <c r="V236" t="s">
        <v>12</v>
      </c>
      <c r="W236" t="s">
        <v>12</v>
      </c>
      <c r="X236" t="s">
        <v>12</v>
      </c>
      <c r="Z236" s="10" t="s">
        <v>12</v>
      </c>
      <c r="AA236" t="s">
        <v>12</v>
      </c>
      <c r="AB236" t="s">
        <v>12</v>
      </c>
      <c r="AC236" t="s">
        <v>12</v>
      </c>
      <c r="AE236" s="10" t="s">
        <v>12</v>
      </c>
      <c r="AF236" t="s">
        <v>12</v>
      </c>
      <c r="AG236" t="s">
        <v>12</v>
      </c>
      <c r="AH236" t="s">
        <v>12</v>
      </c>
      <c r="AJ236" s="10" t="s">
        <v>12</v>
      </c>
      <c r="AK236" t="s">
        <v>12</v>
      </c>
      <c r="AL236" t="s">
        <v>12</v>
      </c>
      <c r="AM236" t="s">
        <v>12</v>
      </c>
    </row>
    <row r="237" spans="1:39" x14ac:dyDescent="0.25">
      <c r="A237" s="4" t="s">
        <v>558</v>
      </c>
      <c r="B237" s="4"/>
      <c r="C237" s="4" t="s">
        <v>559</v>
      </c>
      <c r="D237" s="4" t="s">
        <v>560</v>
      </c>
      <c r="E237" s="4" t="s">
        <v>1012</v>
      </c>
      <c r="F237" s="4" t="s">
        <v>654</v>
      </c>
      <c r="G237" s="4" t="s">
        <v>1013</v>
      </c>
      <c r="H237" s="4" t="s">
        <v>12</v>
      </c>
      <c r="I237" s="4" t="s">
        <v>178</v>
      </c>
      <c r="J237" s="17">
        <f t="shared" ref="J237:J256" si="7">SUM(N237,X237,AH237)</f>
        <v>3</v>
      </c>
      <c r="K237" s="15" t="s">
        <v>655</v>
      </c>
      <c r="L237" s="4">
        <v>93</v>
      </c>
      <c r="M237" s="3">
        <v>1</v>
      </c>
      <c r="N237" s="4">
        <v>3</v>
      </c>
      <c r="O237" t="s">
        <v>661</v>
      </c>
      <c r="P237" s="10" t="s">
        <v>12</v>
      </c>
      <c r="Q237" t="s">
        <v>12</v>
      </c>
      <c r="R237" t="s">
        <v>12</v>
      </c>
      <c r="S237" t="s">
        <v>12</v>
      </c>
      <c r="U237" s="10" t="s">
        <v>12</v>
      </c>
      <c r="V237" t="s">
        <v>12</v>
      </c>
      <c r="W237" t="s">
        <v>12</v>
      </c>
      <c r="X237" t="s">
        <v>12</v>
      </c>
      <c r="Z237" s="10" t="s">
        <v>12</v>
      </c>
      <c r="AA237" t="s">
        <v>12</v>
      </c>
      <c r="AB237" t="s">
        <v>12</v>
      </c>
      <c r="AC237" t="s">
        <v>12</v>
      </c>
      <c r="AE237" s="10" t="s">
        <v>12</v>
      </c>
      <c r="AF237" t="s">
        <v>12</v>
      </c>
      <c r="AG237" t="s">
        <v>12</v>
      </c>
      <c r="AH237" t="s">
        <v>12</v>
      </c>
      <c r="AJ237" s="10" t="s">
        <v>12</v>
      </c>
      <c r="AK237" t="s">
        <v>12</v>
      </c>
      <c r="AL237" t="s">
        <v>12</v>
      </c>
      <c r="AM237" t="s">
        <v>12</v>
      </c>
    </row>
    <row r="238" spans="1:39" x14ac:dyDescent="0.25">
      <c r="A238" s="4" t="s">
        <v>561</v>
      </c>
      <c r="B238" s="4"/>
      <c r="C238" s="4" t="s">
        <v>562</v>
      </c>
      <c r="D238" s="4" t="s">
        <v>563</v>
      </c>
      <c r="E238" s="4" t="s">
        <v>1014</v>
      </c>
      <c r="F238" s="4" t="s">
        <v>825</v>
      </c>
      <c r="G238" s="4"/>
      <c r="H238" s="4"/>
      <c r="I238" s="4">
        <v>1</v>
      </c>
      <c r="J238" s="17">
        <f t="shared" si="7"/>
        <v>0</v>
      </c>
      <c r="K238" s="10" t="s">
        <v>12</v>
      </c>
      <c r="L238" t="s">
        <v>12</v>
      </c>
      <c r="M238" s="2" t="s">
        <v>12</v>
      </c>
      <c r="N238" t="s">
        <v>12</v>
      </c>
      <c r="O238" s="4"/>
      <c r="P238" s="10" t="s">
        <v>12</v>
      </c>
      <c r="Q238" t="s">
        <v>12</v>
      </c>
      <c r="R238" t="s">
        <v>12</v>
      </c>
      <c r="S238" t="s">
        <v>12</v>
      </c>
      <c r="T238" s="4"/>
      <c r="U238" s="10" t="s">
        <v>12</v>
      </c>
      <c r="V238" t="s">
        <v>12</v>
      </c>
      <c r="W238" t="s">
        <v>12</v>
      </c>
      <c r="X238" t="s">
        <v>12</v>
      </c>
      <c r="Z238" s="10" t="s">
        <v>12</v>
      </c>
      <c r="AA238" t="s">
        <v>12</v>
      </c>
      <c r="AB238" t="s">
        <v>12</v>
      </c>
      <c r="AC238" t="s">
        <v>12</v>
      </c>
      <c r="AE238" s="10" t="s">
        <v>830</v>
      </c>
      <c r="AF238">
        <v>56</v>
      </c>
      <c r="AG238">
        <v>0</v>
      </c>
      <c r="AH238">
        <v>0</v>
      </c>
      <c r="AJ238" s="10" t="s">
        <v>12</v>
      </c>
      <c r="AK238" t="s">
        <v>12</v>
      </c>
      <c r="AL238" t="s">
        <v>12</v>
      </c>
      <c r="AM238" t="s">
        <v>12</v>
      </c>
    </row>
    <row r="239" spans="1:39" x14ac:dyDescent="0.25">
      <c r="A239" s="4" t="s">
        <v>564</v>
      </c>
      <c r="B239" s="4"/>
      <c r="C239" s="4" t="s">
        <v>565</v>
      </c>
      <c r="D239" s="4" t="s">
        <v>566</v>
      </c>
      <c r="E239" s="4" t="s">
        <v>1015</v>
      </c>
      <c r="F239" s="4" t="s">
        <v>49</v>
      </c>
      <c r="G239" s="4"/>
      <c r="H239" s="4"/>
      <c r="I239" s="4" t="s">
        <v>522</v>
      </c>
      <c r="J239" s="17">
        <f t="shared" si="7"/>
        <v>0</v>
      </c>
      <c r="K239" s="10" t="s">
        <v>12</v>
      </c>
      <c r="L239" t="s">
        <v>12</v>
      </c>
      <c r="M239" s="2" t="s">
        <v>12</v>
      </c>
      <c r="N239" t="s">
        <v>12</v>
      </c>
      <c r="O239" s="4"/>
      <c r="P239" s="10" t="s">
        <v>12</v>
      </c>
      <c r="Q239" t="s">
        <v>12</v>
      </c>
      <c r="R239" t="s">
        <v>12</v>
      </c>
      <c r="S239" t="s">
        <v>12</v>
      </c>
      <c r="T239" s="4"/>
      <c r="U239" s="10" t="s">
        <v>12</v>
      </c>
      <c r="V239" t="s">
        <v>12</v>
      </c>
      <c r="W239" t="s">
        <v>12</v>
      </c>
      <c r="X239" t="s">
        <v>12</v>
      </c>
      <c r="Z239" s="10" t="s">
        <v>12</v>
      </c>
      <c r="AA239" t="s">
        <v>12</v>
      </c>
      <c r="AB239" t="s">
        <v>12</v>
      </c>
      <c r="AC239" t="s">
        <v>12</v>
      </c>
      <c r="AE239" s="10" t="s">
        <v>985</v>
      </c>
      <c r="AF239">
        <v>7</v>
      </c>
      <c r="AG239">
        <v>0</v>
      </c>
      <c r="AH239">
        <v>0</v>
      </c>
      <c r="AJ239" s="10" t="s">
        <v>12</v>
      </c>
      <c r="AK239" t="s">
        <v>12</v>
      </c>
      <c r="AL239" t="s">
        <v>12</v>
      </c>
      <c r="AM239" t="s">
        <v>12</v>
      </c>
    </row>
    <row r="240" spans="1:39" x14ac:dyDescent="0.25">
      <c r="A240" s="4" t="s">
        <v>567</v>
      </c>
      <c r="B240" s="4"/>
      <c r="C240" s="4" t="s">
        <v>568</v>
      </c>
      <c r="D240" s="4" t="s">
        <v>569</v>
      </c>
      <c r="E240" s="4" t="s">
        <v>1016</v>
      </c>
      <c r="F240" s="4" t="s">
        <v>68</v>
      </c>
      <c r="G240" s="4" t="s">
        <v>1018</v>
      </c>
      <c r="H240" s="4" t="s">
        <v>1019</v>
      </c>
      <c r="I240" s="4">
        <v>1</v>
      </c>
      <c r="J240" s="17">
        <f t="shared" si="7"/>
        <v>3</v>
      </c>
      <c r="K240" s="15" t="s">
        <v>1017</v>
      </c>
      <c r="L240" s="4">
        <v>60</v>
      </c>
      <c r="M240" s="3">
        <v>1</v>
      </c>
      <c r="N240" s="16">
        <v>3</v>
      </c>
      <c r="O240" t="s">
        <v>661</v>
      </c>
      <c r="P240" s="10" t="s">
        <v>12</v>
      </c>
      <c r="Q240" t="s">
        <v>12</v>
      </c>
      <c r="R240" t="s">
        <v>12</v>
      </c>
      <c r="S240" t="s">
        <v>12</v>
      </c>
      <c r="U240" s="10" t="s">
        <v>12</v>
      </c>
      <c r="V240" t="s">
        <v>12</v>
      </c>
      <c r="W240" t="s">
        <v>12</v>
      </c>
      <c r="X240" t="s">
        <v>12</v>
      </c>
      <c r="Z240" s="10" t="s">
        <v>12</v>
      </c>
      <c r="AA240" t="s">
        <v>12</v>
      </c>
      <c r="AB240" t="s">
        <v>12</v>
      </c>
      <c r="AC240" t="s">
        <v>12</v>
      </c>
      <c r="AE240" s="10" t="s">
        <v>12</v>
      </c>
      <c r="AF240" t="s">
        <v>12</v>
      </c>
      <c r="AG240" t="s">
        <v>12</v>
      </c>
      <c r="AH240" t="s">
        <v>12</v>
      </c>
      <c r="AJ240" s="10" t="s">
        <v>12</v>
      </c>
      <c r="AK240" t="s">
        <v>12</v>
      </c>
      <c r="AL240" t="s">
        <v>12</v>
      </c>
      <c r="AM240" t="s">
        <v>12</v>
      </c>
    </row>
    <row r="241" spans="1:39" x14ac:dyDescent="0.25">
      <c r="A241" s="4" t="s">
        <v>567</v>
      </c>
      <c r="B241" s="4"/>
      <c r="C241" s="4" t="s">
        <v>568</v>
      </c>
      <c r="D241" s="4" t="s">
        <v>569</v>
      </c>
      <c r="E241" s="4" t="s">
        <v>1016</v>
      </c>
      <c r="F241" s="4" t="s">
        <v>68</v>
      </c>
      <c r="G241" s="4" t="s">
        <v>1018</v>
      </c>
      <c r="H241" s="4" t="s">
        <v>1019</v>
      </c>
      <c r="I241" s="4">
        <v>1</v>
      </c>
      <c r="J241" s="17">
        <f t="shared" si="7"/>
        <v>0</v>
      </c>
      <c r="K241" s="15" t="s">
        <v>1020</v>
      </c>
      <c r="L241" s="4">
        <v>20</v>
      </c>
      <c r="M241" s="1">
        <v>0</v>
      </c>
      <c r="N241">
        <v>0</v>
      </c>
      <c r="O241" t="s">
        <v>81</v>
      </c>
      <c r="P241" s="10" t="s">
        <v>1021</v>
      </c>
      <c r="Q241" s="16">
        <v>20</v>
      </c>
      <c r="R241" s="16">
        <v>0</v>
      </c>
      <c r="S241" s="16">
        <v>0</v>
      </c>
      <c r="U241" s="10" t="s">
        <v>12</v>
      </c>
      <c r="V241" t="s">
        <v>12</v>
      </c>
      <c r="W241" t="s">
        <v>12</v>
      </c>
      <c r="X241" t="s">
        <v>12</v>
      </c>
      <c r="Z241" s="10" t="s">
        <v>12</v>
      </c>
      <c r="AA241" t="s">
        <v>12</v>
      </c>
      <c r="AB241" t="s">
        <v>12</v>
      </c>
      <c r="AC241" t="s">
        <v>12</v>
      </c>
      <c r="AE241" s="10" t="s">
        <v>12</v>
      </c>
      <c r="AF241" t="s">
        <v>12</v>
      </c>
      <c r="AG241" t="s">
        <v>12</v>
      </c>
      <c r="AH241" t="s">
        <v>12</v>
      </c>
      <c r="AJ241" s="10" t="s">
        <v>12</v>
      </c>
      <c r="AK241" t="s">
        <v>12</v>
      </c>
      <c r="AL241" t="s">
        <v>12</v>
      </c>
      <c r="AM241" t="s">
        <v>12</v>
      </c>
    </row>
    <row r="242" spans="1:39" x14ac:dyDescent="0.25">
      <c r="A242" s="4" t="s">
        <v>570</v>
      </c>
      <c r="B242" s="4" t="s">
        <v>1023</v>
      </c>
      <c r="C242" s="4" t="s">
        <v>571</v>
      </c>
      <c r="D242" s="4" t="s">
        <v>1024</v>
      </c>
      <c r="E242" s="4" t="s">
        <v>1022</v>
      </c>
      <c r="F242" s="4" t="s">
        <v>764</v>
      </c>
      <c r="G242" s="4"/>
      <c r="H242" s="4"/>
      <c r="I242" s="4" t="s">
        <v>572</v>
      </c>
      <c r="J242" s="17">
        <f t="shared" si="7"/>
        <v>2</v>
      </c>
      <c r="K242" s="15" t="s">
        <v>1006</v>
      </c>
      <c r="L242" s="4">
        <v>54</v>
      </c>
      <c r="M242" s="3">
        <v>1</v>
      </c>
      <c r="N242" s="4">
        <v>2</v>
      </c>
      <c r="O242" t="s">
        <v>662</v>
      </c>
      <c r="P242" s="10" t="s">
        <v>12</v>
      </c>
      <c r="Q242" t="s">
        <v>12</v>
      </c>
      <c r="R242" t="s">
        <v>12</v>
      </c>
      <c r="S242" t="s">
        <v>12</v>
      </c>
      <c r="U242" s="10" t="s">
        <v>12</v>
      </c>
      <c r="V242" t="s">
        <v>12</v>
      </c>
      <c r="W242" t="s">
        <v>12</v>
      </c>
      <c r="X242" t="s">
        <v>12</v>
      </c>
      <c r="Z242" s="10" t="s">
        <v>12</v>
      </c>
      <c r="AA242" t="s">
        <v>12</v>
      </c>
      <c r="AB242" t="s">
        <v>12</v>
      </c>
      <c r="AC242" t="s">
        <v>12</v>
      </c>
      <c r="AE242" s="10" t="s">
        <v>12</v>
      </c>
      <c r="AF242" t="s">
        <v>12</v>
      </c>
      <c r="AG242" t="s">
        <v>12</v>
      </c>
      <c r="AH242" t="s">
        <v>12</v>
      </c>
      <c r="AJ242" s="10" t="s">
        <v>12</v>
      </c>
      <c r="AK242" t="s">
        <v>12</v>
      </c>
      <c r="AL242" t="s">
        <v>12</v>
      </c>
      <c r="AM242" t="s">
        <v>12</v>
      </c>
    </row>
    <row r="243" spans="1:39" x14ac:dyDescent="0.25">
      <c r="A243" s="4" t="s">
        <v>486</v>
      </c>
      <c r="B243" s="4" t="s">
        <v>1026</v>
      </c>
      <c r="C243" s="4" t="s">
        <v>571</v>
      </c>
      <c r="D243" s="4" t="s">
        <v>1027</v>
      </c>
      <c r="E243" s="4" t="s">
        <v>1025</v>
      </c>
      <c r="F243" s="4" t="s">
        <v>764</v>
      </c>
      <c r="G243" s="4"/>
      <c r="H243" s="4"/>
      <c r="I243" s="4">
        <v>1</v>
      </c>
      <c r="J243" s="17">
        <f t="shared" si="7"/>
        <v>3</v>
      </c>
      <c r="K243" s="15" t="s">
        <v>1006</v>
      </c>
      <c r="L243" s="4">
        <v>54</v>
      </c>
      <c r="M243" s="3">
        <v>1</v>
      </c>
      <c r="N243" s="4">
        <v>3</v>
      </c>
      <c r="O243" t="s">
        <v>661</v>
      </c>
      <c r="P243" s="10" t="s">
        <v>12</v>
      </c>
      <c r="Q243" t="s">
        <v>12</v>
      </c>
      <c r="R243" t="s">
        <v>12</v>
      </c>
      <c r="S243" t="s">
        <v>12</v>
      </c>
      <c r="U243" s="10" t="s">
        <v>12</v>
      </c>
      <c r="V243" t="s">
        <v>12</v>
      </c>
      <c r="W243" t="s">
        <v>12</v>
      </c>
      <c r="X243" t="s">
        <v>12</v>
      </c>
      <c r="Z243" s="10" t="s">
        <v>12</v>
      </c>
      <c r="AA243" t="s">
        <v>12</v>
      </c>
      <c r="AB243" t="s">
        <v>12</v>
      </c>
      <c r="AC243" t="s">
        <v>12</v>
      </c>
      <c r="AE243" s="10" t="s">
        <v>12</v>
      </c>
      <c r="AF243" t="s">
        <v>12</v>
      </c>
      <c r="AG243" t="s">
        <v>12</v>
      </c>
      <c r="AH243" t="s">
        <v>12</v>
      </c>
      <c r="AJ243" s="10" t="s">
        <v>12</v>
      </c>
      <c r="AK243" t="s">
        <v>12</v>
      </c>
      <c r="AL243" t="s">
        <v>12</v>
      </c>
      <c r="AM243" t="s">
        <v>12</v>
      </c>
    </row>
    <row r="244" spans="1:39" x14ac:dyDescent="0.25">
      <c r="A244" s="4" t="s">
        <v>573</v>
      </c>
      <c r="B244" s="4"/>
      <c r="C244" s="4" t="s">
        <v>574</v>
      </c>
      <c r="D244" s="4" t="s">
        <v>575</v>
      </c>
      <c r="E244" s="4" t="s">
        <v>1028</v>
      </c>
      <c r="F244" s="4" t="s">
        <v>708</v>
      </c>
      <c r="G244" s="4"/>
      <c r="H244" s="4"/>
      <c r="I244" s="4">
        <v>1</v>
      </c>
      <c r="J244" s="17">
        <f t="shared" si="7"/>
        <v>2</v>
      </c>
      <c r="K244" s="15" t="s">
        <v>1001</v>
      </c>
      <c r="L244" s="4">
        <v>1</v>
      </c>
      <c r="M244" s="3">
        <v>1</v>
      </c>
      <c r="N244" s="4">
        <v>2</v>
      </c>
      <c r="O244" t="s">
        <v>662</v>
      </c>
      <c r="P244" s="10" t="s">
        <v>12</v>
      </c>
      <c r="Q244" t="s">
        <v>12</v>
      </c>
      <c r="R244" t="s">
        <v>12</v>
      </c>
      <c r="S244" t="s">
        <v>12</v>
      </c>
      <c r="U244" s="10" t="s">
        <v>12</v>
      </c>
      <c r="V244" t="s">
        <v>12</v>
      </c>
      <c r="W244" t="s">
        <v>12</v>
      </c>
      <c r="X244" t="s">
        <v>12</v>
      </c>
      <c r="Z244" s="10" t="s">
        <v>12</v>
      </c>
      <c r="AA244" t="s">
        <v>12</v>
      </c>
      <c r="AB244" t="s">
        <v>12</v>
      </c>
      <c r="AC244" t="s">
        <v>12</v>
      </c>
      <c r="AE244" s="10" t="s">
        <v>12</v>
      </c>
      <c r="AF244" t="s">
        <v>12</v>
      </c>
      <c r="AG244" t="s">
        <v>12</v>
      </c>
      <c r="AH244" t="s">
        <v>12</v>
      </c>
      <c r="AJ244" s="10" t="s">
        <v>12</v>
      </c>
      <c r="AK244" t="s">
        <v>12</v>
      </c>
      <c r="AL244" t="s">
        <v>12</v>
      </c>
      <c r="AM244" t="s">
        <v>12</v>
      </c>
    </row>
    <row r="245" spans="1:39" x14ac:dyDescent="0.25">
      <c r="A245" s="4" t="s">
        <v>576</v>
      </c>
      <c r="B245" s="4" t="s">
        <v>577</v>
      </c>
      <c r="C245" s="4" t="s">
        <v>578</v>
      </c>
      <c r="D245" s="4" t="s">
        <v>579</v>
      </c>
      <c r="E245" s="4" t="s">
        <v>1029</v>
      </c>
      <c r="F245" s="4" t="s">
        <v>56</v>
      </c>
      <c r="G245" s="4"/>
      <c r="H245" s="4"/>
      <c r="I245" t="s">
        <v>96</v>
      </c>
      <c r="J245" s="17">
        <f t="shared" si="7"/>
        <v>2</v>
      </c>
      <c r="K245" s="10" t="s">
        <v>616</v>
      </c>
      <c r="L245">
        <v>13</v>
      </c>
      <c r="M245" s="1">
        <v>1</v>
      </c>
      <c r="N245">
        <v>2</v>
      </c>
      <c r="O245" t="s">
        <v>663</v>
      </c>
      <c r="P245" s="10" t="s">
        <v>12</v>
      </c>
      <c r="Q245" t="s">
        <v>12</v>
      </c>
      <c r="R245" t="s">
        <v>12</v>
      </c>
      <c r="S245" t="s">
        <v>12</v>
      </c>
      <c r="U245" s="10" t="s">
        <v>12</v>
      </c>
      <c r="V245" t="s">
        <v>12</v>
      </c>
      <c r="W245" t="s">
        <v>12</v>
      </c>
      <c r="X245" t="s">
        <v>12</v>
      </c>
      <c r="Z245" s="10" t="s">
        <v>12</v>
      </c>
      <c r="AA245" t="s">
        <v>12</v>
      </c>
      <c r="AB245" t="s">
        <v>12</v>
      </c>
      <c r="AC245" t="s">
        <v>12</v>
      </c>
      <c r="AE245" s="10" t="s">
        <v>12</v>
      </c>
      <c r="AF245" t="s">
        <v>12</v>
      </c>
      <c r="AG245" t="s">
        <v>12</v>
      </c>
      <c r="AH245" t="s">
        <v>12</v>
      </c>
      <c r="AJ245" s="10" t="s">
        <v>12</v>
      </c>
      <c r="AK245" t="s">
        <v>12</v>
      </c>
      <c r="AL245" t="s">
        <v>12</v>
      </c>
      <c r="AM245" t="s">
        <v>12</v>
      </c>
    </row>
    <row r="246" spans="1:39" x14ac:dyDescent="0.25">
      <c r="A246" s="4" t="s">
        <v>576</v>
      </c>
      <c r="B246" s="4" t="s">
        <v>577</v>
      </c>
      <c r="C246" s="4" t="s">
        <v>578</v>
      </c>
      <c r="D246" s="4" t="s">
        <v>579</v>
      </c>
      <c r="E246" s="4" t="s">
        <v>1029</v>
      </c>
      <c r="F246" s="4" t="s">
        <v>56</v>
      </c>
      <c r="G246" s="4"/>
      <c r="H246" s="4"/>
      <c r="I246" t="s">
        <v>96</v>
      </c>
      <c r="J246" s="17">
        <f t="shared" si="7"/>
        <v>0</v>
      </c>
      <c r="K246" s="10" t="s">
        <v>617</v>
      </c>
      <c r="L246">
        <v>6</v>
      </c>
      <c r="M246" s="1">
        <v>0</v>
      </c>
      <c r="N246">
        <v>0</v>
      </c>
      <c r="O246" t="s">
        <v>81</v>
      </c>
      <c r="P246" s="10" t="s">
        <v>12</v>
      </c>
      <c r="Q246" t="s">
        <v>12</v>
      </c>
      <c r="R246" t="s">
        <v>12</v>
      </c>
      <c r="S246" t="s">
        <v>12</v>
      </c>
      <c r="U246" s="10" t="s">
        <v>12</v>
      </c>
      <c r="V246" t="s">
        <v>12</v>
      </c>
      <c r="W246" t="s">
        <v>12</v>
      </c>
      <c r="X246" t="s">
        <v>12</v>
      </c>
      <c r="Z246" s="10" t="s">
        <v>12</v>
      </c>
      <c r="AA246" t="s">
        <v>12</v>
      </c>
      <c r="AB246" t="s">
        <v>12</v>
      </c>
      <c r="AC246" t="s">
        <v>12</v>
      </c>
      <c r="AE246" s="10" t="s">
        <v>12</v>
      </c>
      <c r="AF246" t="s">
        <v>12</v>
      </c>
      <c r="AG246" t="s">
        <v>12</v>
      </c>
      <c r="AH246" t="s">
        <v>12</v>
      </c>
      <c r="AJ246" s="10" t="s">
        <v>12</v>
      </c>
      <c r="AK246" t="s">
        <v>12</v>
      </c>
      <c r="AL246" t="s">
        <v>12</v>
      </c>
      <c r="AM246" t="s">
        <v>12</v>
      </c>
    </row>
    <row r="247" spans="1:39" x14ac:dyDescent="0.25">
      <c r="A247" s="4" t="s">
        <v>580</v>
      </c>
      <c r="B247" s="4"/>
      <c r="C247" s="4" t="s">
        <v>581</v>
      </c>
      <c r="D247" s="4" t="s">
        <v>582</v>
      </c>
      <c r="E247" s="4" t="s">
        <v>1076</v>
      </c>
      <c r="F247" s="4" t="s">
        <v>77</v>
      </c>
      <c r="G247" s="4"/>
      <c r="H247" s="4"/>
      <c r="I247" s="4">
        <v>1</v>
      </c>
      <c r="J247" s="17">
        <f t="shared" si="7"/>
        <v>0</v>
      </c>
      <c r="K247" s="10" t="s">
        <v>12</v>
      </c>
      <c r="L247" t="s">
        <v>12</v>
      </c>
      <c r="M247" s="2" t="s">
        <v>12</v>
      </c>
      <c r="N247" t="s">
        <v>12</v>
      </c>
      <c r="O247" s="4"/>
      <c r="P247" s="10" t="s">
        <v>12</v>
      </c>
      <c r="Q247" t="s">
        <v>12</v>
      </c>
      <c r="R247" t="s">
        <v>12</v>
      </c>
      <c r="S247" t="s">
        <v>12</v>
      </c>
      <c r="U247" s="10" t="s">
        <v>12</v>
      </c>
      <c r="V247" t="s">
        <v>12</v>
      </c>
      <c r="W247" t="s">
        <v>12</v>
      </c>
      <c r="X247" t="s">
        <v>12</v>
      </c>
      <c r="Z247" s="10" t="s">
        <v>12</v>
      </c>
      <c r="AA247" t="s">
        <v>12</v>
      </c>
      <c r="AB247" t="s">
        <v>12</v>
      </c>
      <c r="AC247" t="s">
        <v>12</v>
      </c>
      <c r="AE247" s="10" t="s">
        <v>610</v>
      </c>
      <c r="AF247">
        <v>40</v>
      </c>
      <c r="AG247">
        <v>0</v>
      </c>
      <c r="AH247">
        <v>0</v>
      </c>
      <c r="AJ247" s="10" t="s">
        <v>12</v>
      </c>
      <c r="AK247" t="s">
        <v>12</v>
      </c>
      <c r="AL247" t="s">
        <v>12</v>
      </c>
      <c r="AM247" t="s">
        <v>12</v>
      </c>
    </row>
    <row r="248" spans="1:39" x14ac:dyDescent="0.25">
      <c r="A248" s="4" t="s">
        <v>59</v>
      </c>
      <c r="B248" s="4"/>
      <c r="C248" s="4" t="s">
        <v>583</v>
      </c>
      <c r="D248" s="4" t="s">
        <v>584</v>
      </c>
      <c r="E248" s="4" t="s">
        <v>780</v>
      </c>
      <c r="F248" s="4" t="s">
        <v>74</v>
      </c>
      <c r="G248" s="4"/>
      <c r="H248" s="4"/>
      <c r="I248" s="4">
        <v>1</v>
      </c>
      <c r="J248" s="12">
        <f t="shared" si="7"/>
        <v>0</v>
      </c>
      <c r="K248" s="10" t="s">
        <v>781</v>
      </c>
      <c r="L248">
        <v>6</v>
      </c>
      <c r="M248" s="1">
        <v>0</v>
      </c>
      <c r="N248">
        <v>0</v>
      </c>
      <c r="O248" t="s">
        <v>81</v>
      </c>
      <c r="P248" s="10" t="s">
        <v>12</v>
      </c>
      <c r="Q248" t="s">
        <v>12</v>
      </c>
      <c r="R248" t="s">
        <v>12</v>
      </c>
      <c r="S248" t="s">
        <v>12</v>
      </c>
      <c r="U248" s="10" t="s">
        <v>784</v>
      </c>
      <c r="V248">
        <v>70</v>
      </c>
      <c r="W248">
        <v>0</v>
      </c>
      <c r="X248">
        <v>0</v>
      </c>
      <c r="Z248" s="10" t="s">
        <v>12</v>
      </c>
      <c r="AA248" t="s">
        <v>12</v>
      </c>
      <c r="AB248" t="s">
        <v>12</v>
      </c>
      <c r="AC248" t="s">
        <v>12</v>
      </c>
      <c r="AE248" s="10" t="s">
        <v>783</v>
      </c>
      <c r="AF248">
        <v>1189</v>
      </c>
      <c r="AG248">
        <v>0</v>
      </c>
      <c r="AH248">
        <v>0</v>
      </c>
      <c r="AJ248" s="10" t="s">
        <v>12</v>
      </c>
      <c r="AK248" t="s">
        <v>12</v>
      </c>
      <c r="AL248" t="s">
        <v>12</v>
      </c>
      <c r="AM248" t="s">
        <v>12</v>
      </c>
    </row>
    <row r="249" spans="1:39" x14ac:dyDescent="0.25">
      <c r="A249" s="4" t="s">
        <v>59</v>
      </c>
      <c r="B249" s="4"/>
      <c r="C249" s="4" t="s">
        <v>583</v>
      </c>
      <c r="D249" s="4" t="s">
        <v>584</v>
      </c>
      <c r="E249" s="4" t="s">
        <v>780</v>
      </c>
      <c r="F249" s="4" t="s">
        <v>74</v>
      </c>
      <c r="G249" s="4"/>
      <c r="H249" s="4"/>
      <c r="I249" s="4">
        <v>1</v>
      </c>
      <c r="J249" s="12">
        <f t="shared" ref="J249" si="8">SUM(N249,X249,AH249)</f>
        <v>0</v>
      </c>
      <c r="K249" s="10" t="s">
        <v>782</v>
      </c>
      <c r="L249">
        <v>17</v>
      </c>
      <c r="M249" s="1">
        <v>0</v>
      </c>
      <c r="N249">
        <v>0</v>
      </c>
      <c r="O249" t="s">
        <v>81</v>
      </c>
      <c r="P249" s="10" t="s">
        <v>12</v>
      </c>
      <c r="Q249" t="s">
        <v>12</v>
      </c>
      <c r="R249" t="s">
        <v>12</v>
      </c>
      <c r="S249" t="s">
        <v>12</v>
      </c>
      <c r="U249" s="10" t="s">
        <v>12</v>
      </c>
      <c r="V249" t="s">
        <v>12</v>
      </c>
      <c r="W249" t="s">
        <v>12</v>
      </c>
      <c r="X249" t="s">
        <v>12</v>
      </c>
      <c r="Z249" s="10" t="s">
        <v>12</v>
      </c>
      <c r="AA249" t="s">
        <v>12</v>
      </c>
      <c r="AB249" t="s">
        <v>12</v>
      </c>
      <c r="AC249" t="s">
        <v>12</v>
      </c>
      <c r="AE249" s="10" t="s">
        <v>12</v>
      </c>
      <c r="AF249" t="s">
        <v>12</v>
      </c>
      <c r="AG249" t="s">
        <v>12</v>
      </c>
      <c r="AH249" t="s">
        <v>12</v>
      </c>
      <c r="AJ249" s="10" t="s">
        <v>12</v>
      </c>
      <c r="AK249" t="s">
        <v>12</v>
      </c>
      <c r="AL249" t="s">
        <v>12</v>
      </c>
      <c r="AM249" t="s">
        <v>12</v>
      </c>
    </row>
    <row r="250" spans="1:39" x14ac:dyDescent="0.25">
      <c r="A250" s="2"/>
      <c r="B250" s="2"/>
      <c r="C250" s="2" t="s">
        <v>76</v>
      </c>
      <c r="D250" s="2" t="s">
        <v>76</v>
      </c>
      <c r="E250" s="2"/>
      <c r="F250" s="2" t="s">
        <v>74</v>
      </c>
      <c r="G250" s="2"/>
      <c r="H250" s="2"/>
      <c r="I250" s="2" t="s">
        <v>72</v>
      </c>
      <c r="J250" s="13">
        <f t="shared" si="7"/>
        <v>2</v>
      </c>
      <c r="K250" s="11" t="s">
        <v>608</v>
      </c>
      <c r="L250" s="2">
        <v>1</v>
      </c>
      <c r="M250" s="2">
        <v>1</v>
      </c>
      <c r="N250" s="2">
        <v>2</v>
      </c>
      <c r="O250" s="2" t="s">
        <v>1030</v>
      </c>
      <c r="P250" s="11" t="s">
        <v>12</v>
      </c>
      <c r="Q250" s="2" t="s">
        <v>12</v>
      </c>
      <c r="R250" s="2" t="s">
        <v>12</v>
      </c>
      <c r="S250" s="2" t="s">
        <v>12</v>
      </c>
      <c r="T250" s="2"/>
      <c r="U250" s="11" t="s">
        <v>12</v>
      </c>
      <c r="V250" s="2" t="s">
        <v>12</v>
      </c>
      <c r="W250" s="2" t="s">
        <v>12</v>
      </c>
      <c r="X250" s="2" t="s">
        <v>12</v>
      </c>
      <c r="Y250" s="2"/>
      <c r="Z250" s="11" t="s">
        <v>12</v>
      </c>
      <c r="AA250" s="2" t="s">
        <v>12</v>
      </c>
      <c r="AB250" s="2" t="s">
        <v>12</v>
      </c>
      <c r="AC250" s="2" t="s">
        <v>12</v>
      </c>
      <c r="AD250" s="2"/>
      <c r="AE250" s="11" t="s">
        <v>12</v>
      </c>
      <c r="AF250" s="2" t="s">
        <v>12</v>
      </c>
      <c r="AG250" s="2" t="s">
        <v>12</v>
      </c>
      <c r="AH250" s="2" t="s">
        <v>12</v>
      </c>
      <c r="AI250" s="2"/>
      <c r="AJ250" s="11" t="s">
        <v>12</v>
      </c>
      <c r="AK250" s="2" t="s">
        <v>12</v>
      </c>
      <c r="AL250" s="2" t="s">
        <v>12</v>
      </c>
      <c r="AM250" s="2" t="s">
        <v>12</v>
      </c>
    </row>
    <row r="251" spans="1:39" x14ac:dyDescent="0.25">
      <c r="A251" s="4" t="s">
        <v>269</v>
      </c>
      <c r="B251" s="4"/>
      <c r="C251" s="4" t="s">
        <v>585</v>
      </c>
      <c r="D251" s="4" t="s">
        <v>586</v>
      </c>
      <c r="E251" s="4" t="s">
        <v>1031</v>
      </c>
      <c r="F251" s="4" t="s">
        <v>744</v>
      </c>
      <c r="G251" s="4"/>
      <c r="H251" s="4"/>
      <c r="I251" s="4" t="s">
        <v>465</v>
      </c>
      <c r="J251" s="12">
        <f t="shared" si="7"/>
        <v>2</v>
      </c>
      <c r="K251" s="15" t="s">
        <v>743</v>
      </c>
      <c r="L251" s="4">
        <v>248</v>
      </c>
      <c r="M251" s="3">
        <v>1</v>
      </c>
      <c r="N251" s="16">
        <v>2</v>
      </c>
      <c r="O251" t="s">
        <v>664</v>
      </c>
      <c r="P251" s="10" t="s">
        <v>12</v>
      </c>
      <c r="Q251" t="s">
        <v>12</v>
      </c>
      <c r="R251" t="s">
        <v>12</v>
      </c>
      <c r="S251" t="s">
        <v>12</v>
      </c>
      <c r="U251" s="10" t="s">
        <v>12</v>
      </c>
      <c r="V251" t="s">
        <v>12</v>
      </c>
      <c r="W251" t="s">
        <v>12</v>
      </c>
      <c r="X251" t="s">
        <v>12</v>
      </c>
      <c r="Z251" s="10" t="s">
        <v>12</v>
      </c>
      <c r="AA251" t="s">
        <v>12</v>
      </c>
      <c r="AB251" t="s">
        <v>12</v>
      </c>
      <c r="AC251" t="s">
        <v>12</v>
      </c>
      <c r="AE251" s="10" t="s">
        <v>12</v>
      </c>
      <c r="AF251" t="s">
        <v>12</v>
      </c>
      <c r="AG251" t="s">
        <v>12</v>
      </c>
      <c r="AH251" t="s">
        <v>12</v>
      </c>
      <c r="AJ251" s="10" t="s">
        <v>12</v>
      </c>
      <c r="AK251" t="s">
        <v>12</v>
      </c>
      <c r="AL251" t="s">
        <v>12</v>
      </c>
      <c r="AM251" t="s">
        <v>12</v>
      </c>
    </row>
    <row r="252" spans="1:39" x14ac:dyDescent="0.25">
      <c r="A252" s="4" t="s">
        <v>587</v>
      </c>
      <c r="B252" s="4" t="s">
        <v>588</v>
      </c>
      <c r="C252" s="4" t="s">
        <v>589</v>
      </c>
      <c r="D252" s="4" t="s">
        <v>590</v>
      </c>
      <c r="E252" s="4" t="s">
        <v>1032</v>
      </c>
      <c r="F252" s="4" t="s">
        <v>17</v>
      </c>
      <c r="G252" s="4"/>
      <c r="H252" s="4"/>
      <c r="I252" s="4" t="s">
        <v>171</v>
      </c>
      <c r="J252" s="12">
        <f t="shared" si="7"/>
        <v>0</v>
      </c>
      <c r="K252" s="10" t="s">
        <v>652</v>
      </c>
      <c r="L252" s="4">
        <v>257</v>
      </c>
      <c r="M252" s="1">
        <v>0</v>
      </c>
      <c r="N252">
        <v>0</v>
      </c>
      <c r="O252" t="s">
        <v>81</v>
      </c>
      <c r="P252" s="10" t="s">
        <v>12</v>
      </c>
      <c r="Q252" t="s">
        <v>12</v>
      </c>
      <c r="R252" t="s">
        <v>12</v>
      </c>
      <c r="S252" t="s">
        <v>12</v>
      </c>
      <c r="U252" s="10" t="s">
        <v>12</v>
      </c>
      <c r="V252" t="s">
        <v>12</v>
      </c>
      <c r="W252" t="s">
        <v>12</v>
      </c>
      <c r="X252" t="s">
        <v>12</v>
      </c>
      <c r="Z252" s="10" t="s">
        <v>12</v>
      </c>
      <c r="AA252" t="s">
        <v>12</v>
      </c>
      <c r="AB252" t="s">
        <v>12</v>
      </c>
      <c r="AC252" t="s">
        <v>12</v>
      </c>
      <c r="AE252" s="10" t="s">
        <v>12</v>
      </c>
      <c r="AF252" t="s">
        <v>12</v>
      </c>
      <c r="AG252" t="s">
        <v>12</v>
      </c>
      <c r="AH252" t="s">
        <v>12</v>
      </c>
      <c r="AJ252" s="10" t="s">
        <v>12</v>
      </c>
      <c r="AK252" t="s">
        <v>12</v>
      </c>
      <c r="AL252" t="s">
        <v>12</v>
      </c>
      <c r="AM252" t="s">
        <v>12</v>
      </c>
    </row>
    <row r="253" spans="1:39" x14ac:dyDescent="0.25">
      <c r="A253" s="4" t="s">
        <v>591</v>
      </c>
      <c r="B253" s="4"/>
      <c r="C253" s="4" t="s">
        <v>592</v>
      </c>
      <c r="D253" s="4" t="s">
        <v>593</v>
      </c>
      <c r="E253" s="4" t="s">
        <v>1033</v>
      </c>
      <c r="F253" s="4" t="s">
        <v>62</v>
      </c>
      <c r="G253" s="4"/>
      <c r="H253" s="4"/>
      <c r="I253" s="4">
        <v>1</v>
      </c>
      <c r="J253" s="12">
        <f t="shared" si="7"/>
        <v>0</v>
      </c>
      <c r="K253" s="10" t="s">
        <v>12</v>
      </c>
      <c r="L253" t="s">
        <v>12</v>
      </c>
      <c r="M253" s="2" t="s">
        <v>12</v>
      </c>
      <c r="N253" t="s">
        <v>12</v>
      </c>
      <c r="O253" s="4"/>
      <c r="P253" s="10" t="s">
        <v>12</v>
      </c>
      <c r="Q253" t="s">
        <v>12</v>
      </c>
      <c r="R253" t="s">
        <v>12</v>
      </c>
      <c r="S253" t="s">
        <v>12</v>
      </c>
      <c r="U253" s="10" t="s">
        <v>697</v>
      </c>
      <c r="V253">
        <v>224</v>
      </c>
      <c r="W253">
        <v>0</v>
      </c>
      <c r="X253">
        <v>0</v>
      </c>
      <c r="Z253" s="10" t="s">
        <v>12</v>
      </c>
      <c r="AA253" t="s">
        <v>12</v>
      </c>
      <c r="AB253" t="s">
        <v>12</v>
      </c>
      <c r="AC253" t="s">
        <v>12</v>
      </c>
      <c r="AE253" s="10" t="s">
        <v>12</v>
      </c>
      <c r="AF253" t="s">
        <v>12</v>
      </c>
      <c r="AG253" t="s">
        <v>12</v>
      </c>
      <c r="AH253" t="s">
        <v>12</v>
      </c>
      <c r="AJ253" s="10" t="s">
        <v>12</v>
      </c>
      <c r="AK253" t="s">
        <v>12</v>
      </c>
      <c r="AL253" t="s">
        <v>12</v>
      </c>
      <c r="AM253" t="s">
        <v>12</v>
      </c>
    </row>
    <row r="254" spans="1:39" x14ac:dyDescent="0.25">
      <c r="A254" s="4" t="s">
        <v>591</v>
      </c>
      <c r="B254" s="4"/>
      <c r="C254" s="4" t="s">
        <v>592</v>
      </c>
      <c r="D254" s="4" t="s">
        <v>593</v>
      </c>
      <c r="E254" s="4" t="s">
        <v>1033</v>
      </c>
      <c r="F254" s="4" t="s">
        <v>62</v>
      </c>
      <c r="G254" s="4"/>
      <c r="H254" s="4"/>
      <c r="I254" s="4" t="s">
        <v>502</v>
      </c>
      <c r="J254" s="12">
        <f>SUM(N254,X254,AH255)</f>
        <v>0</v>
      </c>
      <c r="K254" s="15" t="s">
        <v>969</v>
      </c>
      <c r="L254" s="4">
        <v>3443</v>
      </c>
      <c r="M254" s="4">
        <v>1</v>
      </c>
      <c r="N254" s="18">
        <v>0</v>
      </c>
      <c r="O254" s="4" t="s">
        <v>1034</v>
      </c>
      <c r="U254" s="10" t="s">
        <v>12</v>
      </c>
      <c r="V254" t="s">
        <v>12</v>
      </c>
      <c r="W254" t="s">
        <v>12</v>
      </c>
      <c r="X254" t="s">
        <v>12</v>
      </c>
      <c r="Z254" s="10" t="s">
        <v>12</v>
      </c>
      <c r="AA254" t="s">
        <v>12</v>
      </c>
      <c r="AB254" t="s">
        <v>12</v>
      </c>
      <c r="AC254" t="s">
        <v>12</v>
      </c>
      <c r="AE254" s="10" t="s">
        <v>12</v>
      </c>
      <c r="AF254" t="s">
        <v>12</v>
      </c>
      <c r="AG254" t="s">
        <v>12</v>
      </c>
      <c r="AH254" t="s">
        <v>12</v>
      </c>
      <c r="AJ254" s="10" t="s">
        <v>12</v>
      </c>
      <c r="AK254" t="s">
        <v>12</v>
      </c>
      <c r="AL254" t="s">
        <v>12</v>
      </c>
      <c r="AM254" t="s">
        <v>12</v>
      </c>
    </row>
    <row r="255" spans="1:39" x14ac:dyDescent="0.25">
      <c r="A255" s="4" t="s">
        <v>594</v>
      </c>
      <c r="B255" s="4"/>
      <c r="C255" s="4" t="s">
        <v>595</v>
      </c>
      <c r="D255" s="4" t="s">
        <v>596</v>
      </c>
      <c r="E255" s="4" t="s">
        <v>1035</v>
      </c>
      <c r="F255" s="4" t="s">
        <v>74</v>
      </c>
      <c r="G255" s="4"/>
      <c r="H255" s="4"/>
      <c r="I255" s="4">
        <v>1</v>
      </c>
      <c r="J255" s="12">
        <f t="shared" si="7"/>
        <v>0</v>
      </c>
      <c r="K255" s="10" t="s">
        <v>12</v>
      </c>
      <c r="L255" t="s">
        <v>12</v>
      </c>
      <c r="M255" s="2" t="s">
        <v>12</v>
      </c>
      <c r="N255" t="s">
        <v>12</v>
      </c>
      <c r="O255" s="4"/>
      <c r="P255" s="10" t="s">
        <v>12</v>
      </c>
      <c r="Q255" t="s">
        <v>12</v>
      </c>
      <c r="R255" t="s">
        <v>12</v>
      </c>
      <c r="S255" t="s">
        <v>12</v>
      </c>
      <c r="U255" s="10" t="s">
        <v>12</v>
      </c>
      <c r="V255" t="s">
        <v>12</v>
      </c>
      <c r="W255" t="s">
        <v>12</v>
      </c>
      <c r="X255" t="s">
        <v>12</v>
      </c>
      <c r="Z255" s="10" t="s">
        <v>12</v>
      </c>
      <c r="AA255" t="s">
        <v>12</v>
      </c>
      <c r="AB255" t="s">
        <v>12</v>
      </c>
      <c r="AC255" t="s">
        <v>12</v>
      </c>
      <c r="AE255" s="10" t="s">
        <v>1036</v>
      </c>
      <c r="AF255">
        <v>45</v>
      </c>
      <c r="AG255">
        <v>0</v>
      </c>
      <c r="AH255">
        <v>0</v>
      </c>
      <c r="AJ255" s="10" t="s">
        <v>12</v>
      </c>
      <c r="AK255" t="s">
        <v>12</v>
      </c>
      <c r="AL255" t="s">
        <v>12</v>
      </c>
      <c r="AM255" t="s">
        <v>12</v>
      </c>
    </row>
    <row r="256" spans="1:39" x14ac:dyDescent="0.25">
      <c r="A256" s="4" t="s">
        <v>94</v>
      </c>
      <c r="B256" s="4" t="s">
        <v>274</v>
      </c>
      <c r="C256" s="4" t="s">
        <v>597</v>
      </c>
      <c r="D256" s="4" t="s">
        <v>598</v>
      </c>
      <c r="E256" s="4" t="s">
        <v>1037</v>
      </c>
      <c r="F256" s="4" t="s">
        <v>56</v>
      </c>
      <c r="G256" s="4"/>
      <c r="H256" s="4"/>
      <c r="I256" s="4">
        <v>1</v>
      </c>
      <c r="J256" s="12">
        <f t="shared" si="7"/>
        <v>0</v>
      </c>
      <c r="K256" s="10" t="s">
        <v>12</v>
      </c>
      <c r="L256" t="s">
        <v>12</v>
      </c>
      <c r="M256" s="2" t="s">
        <v>12</v>
      </c>
      <c r="N256" t="s">
        <v>12</v>
      </c>
      <c r="O256" s="4"/>
      <c r="P256" s="10" t="s">
        <v>12</v>
      </c>
      <c r="Q256" t="s">
        <v>12</v>
      </c>
      <c r="R256" t="s">
        <v>12</v>
      </c>
      <c r="S256" t="s">
        <v>12</v>
      </c>
      <c r="U256" s="10" t="s">
        <v>12</v>
      </c>
      <c r="V256" t="s">
        <v>12</v>
      </c>
      <c r="W256" t="s">
        <v>12</v>
      </c>
      <c r="X256" t="s">
        <v>12</v>
      </c>
      <c r="Z256" s="10" t="s">
        <v>12</v>
      </c>
      <c r="AA256" t="s">
        <v>12</v>
      </c>
      <c r="AB256" t="s">
        <v>12</v>
      </c>
      <c r="AC256" t="s">
        <v>12</v>
      </c>
      <c r="AE256" s="10" t="s">
        <v>882</v>
      </c>
      <c r="AF256">
        <v>16</v>
      </c>
      <c r="AG256">
        <v>0</v>
      </c>
      <c r="AH256">
        <v>0</v>
      </c>
      <c r="AJ256" s="10" t="s">
        <v>12</v>
      </c>
      <c r="AK256" t="s">
        <v>12</v>
      </c>
      <c r="AL256" t="s">
        <v>12</v>
      </c>
      <c r="AM256" t="s">
        <v>12</v>
      </c>
    </row>
    <row r="257" spans="1:39" x14ac:dyDescent="0.25">
      <c r="A257" s="4" t="s">
        <v>1038</v>
      </c>
      <c r="C257" s="4" t="s">
        <v>1039</v>
      </c>
      <c r="D257" s="4" t="s">
        <v>1041</v>
      </c>
      <c r="E257" t="s">
        <v>1040</v>
      </c>
      <c r="F257" t="s">
        <v>736</v>
      </c>
      <c r="I257" s="4">
        <v>1</v>
      </c>
      <c r="K257" s="10" t="s">
        <v>12</v>
      </c>
      <c r="L257" t="s">
        <v>12</v>
      </c>
      <c r="M257" s="2" t="s">
        <v>12</v>
      </c>
      <c r="N257" t="s">
        <v>12</v>
      </c>
      <c r="P257" s="10" t="s">
        <v>12</v>
      </c>
      <c r="Q257" t="s">
        <v>12</v>
      </c>
      <c r="R257" t="s">
        <v>12</v>
      </c>
      <c r="S257" t="s">
        <v>12</v>
      </c>
      <c r="U257" s="10" t="s">
        <v>12</v>
      </c>
      <c r="V257" t="s">
        <v>12</v>
      </c>
      <c r="W257" t="s">
        <v>12</v>
      </c>
      <c r="X257" t="s">
        <v>12</v>
      </c>
      <c r="Z257" s="10" t="s">
        <v>12</v>
      </c>
      <c r="AA257" t="s">
        <v>12</v>
      </c>
      <c r="AB257" t="s">
        <v>12</v>
      </c>
      <c r="AC257" t="s">
        <v>12</v>
      </c>
      <c r="AE257" s="10" t="s">
        <v>926</v>
      </c>
      <c r="AF257">
        <v>36</v>
      </c>
      <c r="AG257">
        <v>0</v>
      </c>
      <c r="AH257">
        <v>0</v>
      </c>
      <c r="AJ257" s="10" t="s">
        <v>12</v>
      </c>
      <c r="AK257" t="s">
        <v>12</v>
      </c>
      <c r="AL257" t="s">
        <v>12</v>
      </c>
      <c r="AM257" t="s">
        <v>12</v>
      </c>
    </row>
    <row r="258" spans="1:39" x14ac:dyDescent="0.25">
      <c r="A258" s="4" t="s">
        <v>1038</v>
      </c>
      <c r="C258" s="4" t="s">
        <v>1039</v>
      </c>
      <c r="D258" s="4" t="s">
        <v>1041</v>
      </c>
      <c r="E258" t="s">
        <v>1040</v>
      </c>
      <c r="F258" t="s">
        <v>62</v>
      </c>
      <c r="I258" s="4">
        <v>1</v>
      </c>
      <c r="K258" s="10" t="s">
        <v>12</v>
      </c>
      <c r="L258" t="s">
        <v>12</v>
      </c>
      <c r="M258" s="2" t="s">
        <v>12</v>
      </c>
      <c r="N258" t="s">
        <v>12</v>
      </c>
      <c r="P258" s="10" t="s">
        <v>12</v>
      </c>
      <c r="Q258" t="s">
        <v>12</v>
      </c>
      <c r="R258" t="s">
        <v>12</v>
      </c>
      <c r="S258" t="s">
        <v>12</v>
      </c>
      <c r="U258" s="10" t="s">
        <v>12</v>
      </c>
      <c r="V258" t="s">
        <v>12</v>
      </c>
      <c r="W258" t="s">
        <v>12</v>
      </c>
      <c r="X258" t="s">
        <v>12</v>
      </c>
      <c r="Z258" s="10" t="s">
        <v>12</v>
      </c>
      <c r="AA258" t="s">
        <v>12</v>
      </c>
      <c r="AB258" t="s">
        <v>12</v>
      </c>
      <c r="AC258" t="s">
        <v>12</v>
      </c>
      <c r="AE258" s="10" t="s">
        <v>927</v>
      </c>
      <c r="AF258">
        <v>1627</v>
      </c>
      <c r="AG258">
        <v>0</v>
      </c>
      <c r="AH258">
        <v>0</v>
      </c>
      <c r="AJ258" s="10" t="s">
        <v>12</v>
      </c>
      <c r="AK258" t="s">
        <v>12</v>
      </c>
      <c r="AL258" t="s">
        <v>12</v>
      </c>
      <c r="AM258" t="s">
        <v>12</v>
      </c>
    </row>
    <row r="259" spans="1:39" x14ac:dyDescent="0.25">
      <c r="A259" s="4" t="s">
        <v>1038</v>
      </c>
      <c r="C259" s="4" t="s">
        <v>1039</v>
      </c>
      <c r="D259" s="4" t="s">
        <v>1041</v>
      </c>
      <c r="E259" t="s">
        <v>1040</v>
      </c>
      <c r="F259" t="s">
        <v>49</v>
      </c>
      <c r="I259" s="4">
        <v>1</v>
      </c>
      <c r="K259" s="10" t="s">
        <v>12</v>
      </c>
      <c r="L259" t="s">
        <v>12</v>
      </c>
      <c r="M259" s="2" t="s">
        <v>12</v>
      </c>
      <c r="N259" t="s">
        <v>12</v>
      </c>
      <c r="P259" s="10" t="s">
        <v>12</v>
      </c>
      <c r="Q259" t="s">
        <v>12</v>
      </c>
      <c r="R259" t="s">
        <v>12</v>
      </c>
      <c r="S259" t="s">
        <v>12</v>
      </c>
      <c r="U259" s="10" t="s">
        <v>12</v>
      </c>
      <c r="V259" t="s">
        <v>12</v>
      </c>
      <c r="W259" t="s">
        <v>12</v>
      </c>
      <c r="X259" t="s">
        <v>12</v>
      </c>
      <c r="Z259" s="10" t="s">
        <v>12</v>
      </c>
      <c r="AA259" t="s">
        <v>12</v>
      </c>
      <c r="AB259" t="s">
        <v>12</v>
      </c>
      <c r="AC259" t="s">
        <v>12</v>
      </c>
      <c r="AE259" s="10" t="s">
        <v>929</v>
      </c>
      <c r="AF259">
        <v>224</v>
      </c>
      <c r="AG259">
        <v>0</v>
      </c>
      <c r="AH259">
        <v>0</v>
      </c>
      <c r="AJ259" s="10" t="s">
        <v>12</v>
      </c>
      <c r="AK259" t="s">
        <v>12</v>
      </c>
      <c r="AL259" t="s">
        <v>12</v>
      </c>
      <c r="AM259" t="s">
        <v>12</v>
      </c>
    </row>
    <row r="260" spans="1:39" x14ac:dyDescent="0.25">
      <c r="A260" s="4" t="s">
        <v>1038</v>
      </c>
      <c r="C260" s="4" t="s">
        <v>1039</v>
      </c>
      <c r="D260" s="4" t="s">
        <v>1041</v>
      </c>
      <c r="E260" t="s">
        <v>1040</v>
      </c>
      <c r="F260" t="s">
        <v>24</v>
      </c>
      <c r="I260" s="4">
        <v>1</v>
      </c>
      <c r="K260" s="10" t="s">
        <v>12</v>
      </c>
      <c r="L260" t="s">
        <v>12</v>
      </c>
      <c r="M260" s="2" t="s">
        <v>12</v>
      </c>
      <c r="N260" t="s">
        <v>12</v>
      </c>
      <c r="P260" s="10" t="s">
        <v>12</v>
      </c>
      <c r="Q260" t="s">
        <v>12</v>
      </c>
      <c r="R260" t="s">
        <v>12</v>
      </c>
      <c r="S260" t="s">
        <v>12</v>
      </c>
      <c r="U260" s="10" t="s">
        <v>12</v>
      </c>
      <c r="V260" t="s">
        <v>12</v>
      </c>
      <c r="W260" t="s">
        <v>12</v>
      </c>
      <c r="X260" t="s">
        <v>12</v>
      </c>
      <c r="Z260" s="10" t="s">
        <v>12</v>
      </c>
      <c r="AA260" t="s">
        <v>12</v>
      </c>
      <c r="AB260" t="s">
        <v>12</v>
      </c>
      <c r="AC260" t="s">
        <v>12</v>
      </c>
      <c r="AE260" s="10" t="s">
        <v>930</v>
      </c>
      <c r="AF260">
        <v>1056</v>
      </c>
      <c r="AG260">
        <v>0</v>
      </c>
      <c r="AH260">
        <v>0</v>
      </c>
      <c r="AJ260" s="10" t="s">
        <v>12</v>
      </c>
      <c r="AK260" t="s">
        <v>12</v>
      </c>
      <c r="AL260" t="s">
        <v>12</v>
      </c>
      <c r="AM260" t="s">
        <v>12</v>
      </c>
    </row>
    <row r="261" spans="1:39" x14ac:dyDescent="0.25">
      <c r="A261" s="4" t="s">
        <v>1038</v>
      </c>
      <c r="C261" s="4" t="s">
        <v>1039</v>
      </c>
      <c r="D261" s="4" t="s">
        <v>1041</v>
      </c>
      <c r="E261" t="s">
        <v>1040</v>
      </c>
      <c r="F261" t="s">
        <v>654</v>
      </c>
      <c r="I261" s="4">
        <v>1</v>
      </c>
      <c r="K261" s="10" t="s">
        <v>12</v>
      </c>
      <c r="L261" t="s">
        <v>12</v>
      </c>
      <c r="M261" s="2" t="s">
        <v>12</v>
      </c>
      <c r="N261" t="s">
        <v>12</v>
      </c>
      <c r="P261" s="10" t="s">
        <v>12</v>
      </c>
      <c r="Q261" t="s">
        <v>12</v>
      </c>
      <c r="R261" t="s">
        <v>12</v>
      </c>
      <c r="S261" t="s">
        <v>12</v>
      </c>
      <c r="U261" s="10" t="s">
        <v>12</v>
      </c>
      <c r="V261" t="s">
        <v>12</v>
      </c>
      <c r="W261" t="s">
        <v>12</v>
      </c>
      <c r="X261" t="s">
        <v>12</v>
      </c>
      <c r="Z261" s="10" t="s">
        <v>12</v>
      </c>
      <c r="AA261" t="s">
        <v>12</v>
      </c>
      <c r="AB261" t="s">
        <v>12</v>
      </c>
      <c r="AC261" t="s">
        <v>12</v>
      </c>
      <c r="AE261" s="10" t="s">
        <v>931</v>
      </c>
      <c r="AF261">
        <v>45</v>
      </c>
      <c r="AG261">
        <v>0</v>
      </c>
      <c r="AH261">
        <v>0</v>
      </c>
      <c r="AJ261" s="10" t="s">
        <v>12</v>
      </c>
      <c r="AK261" t="s">
        <v>12</v>
      </c>
      <c r="AL261" t="s">
        <v>12</v>
      </c>
      <c r="AM261" t="s">
        <v>12</v>
      </c>
    </row>
    <row r="262" spans="1:39" x14ac:dyDescent="0.25">
      <c r="A262" s="4" t="s">
        <v>1038</v>
      </c>
      <c r="C262" s="4" t="s">
        <v>1039</v>
      </c>
      <c r="D262" s="4" t="s">
        <v>1041</v>
      </c>
      <c r="E262" t="s">
        <v>1040</v>
      </c>
      <c r="F262" t="s">
        <v>764</v>
      </c>
      <c r="I262" s="4">
        <v>1</v>
      </c>
      <c r="K262" s="10" t="s">
        <v>12</v>
      </c>
      <c r="L262" t="s">
        <v>12</v>
      </c>
      <c r="M262" s="2" t="s">
        <v>12</v>
      </c>
      <c r="N262" t="s">
        <v>12</v>
      </c>
      <c r="P262" s="10" t="s">
        <v>12</v>
      </c>
      <c r="Q262" t="s">
        <v>12</v>
      </c>
      <c r="R262" t="s">
        <v>12</v>
      </c>
      <c r="S262" t="s">
        <v>12</v>
      </c>
      <c r="U262" s="10" t="s">
        <v>12</v>
      </c>
      <c r="V262" t="s">
        <v>12</v>
      </c>
      <c r="W262" t="s">
        <v>12</v>
      </c>
      <c r="X262" t="s">
        <v>12</v>
      </c>
      <c r="Z262" s="10" t="s">
        <v>12</v>
      </c>
      <c r="AA262" t="s">
        <v>12</v>
      </c>
      <c r="AB262" t="s">
        <v>12</v>
      </c>
      <c r="AC262" t="s">
        <v>12</v>
      </c>
      <c r="AE262" s="10" t="s">
        <v>932</v>
      </c>
      <c r="AF262">
        <v>1</v>
      </c>
      <c r="AG262">
        <v>0</v>
      </c>
      <c r="AH262">
        <v>0</v>
      </c>
      <c r="AJ262" s="10" t="s">
        <v>12</v>
      </c>
      <c r="AK262" t="s">
        <v>12</v>
      </c>
      <c r="AL262" t="s">
        <v>12</v>
      </c>
      <c r="AM262" t="s">
        <v>12</v>
      </c>
    </row>
    <row r="263" spans="1:39" x14ac:dyDescent="0.25">
      <c r="A263" s="4" t="s">
        <v>1038</v>
      </c>
      <c r="C263" s="4" t="s">
        <v>1039</v>
      </c>
      <c r="D263" s="4" t="s">
        <v>1041</v>
      </c>
      <c r="E263" t="s">
        <v>1040</v>
      </c>
      <c r="F263" t="s">
        <v>68</v>
      </c>
      <c r="I263" s="4">
        <v>1</v>
      </c>
      <c r="K263" s="10" t="s">
        <v>12</v>
      </c>
      <c r="L263" t="s">
        <v>12</v>
      </c>
      <c r="M263" s="2" t="s">
        <v>12</v>
      </c>
      <c r="N263" t="s">
        <v>12</v>
      </c>
      <c r="P263" s="10" t="s">
        <v>12</v>
      </c>
      <c r="Q263" t="s">
        <v>12</v>
      </c>
      <c r="R263" t="s">
        <v>12</v>
      </c>
      <c r="S263" t="s">
        <v>12</v>
      </c>
      <c r="U263" s="10" t="s">
        <v>12</v>
      </c>
      <c r="V263" t="s">
        <v>12</v>
      </c>
      <c r="W263" t="s">
        <v>12</v>
      </c>
      <c r="X263" t="s">
        <v>12</v>
      </c>
      <c r="Z263" s="10" t="s">
        <v>12</v>
      </c>
      <c r="AA263" t="s">
        <v>12</v>
      </c>
      <c r="AB263" t="s">
        <v>12</v>
      </c>
      <c r="AC263" t="s">
        <v>12</v>
      </c>
      <c r="AE263" s="10" t="s">
        <v>933</v>
      </c>
      <c r="AF263">
        <v>4</v>
      </c>
      <c r="AG263">
        <v>0</v>
      </c>
      <c r="AH263">
        <v>0</v>
      </c>
      <c r="AJ263" s="10" t="s">
        <v>12</v>
      </c>
      <c r="AK263" t="s">
        <v>12</v>
      </c>
      <c r="AL263" t="s">
        <v>12</v>
      </c>
      <c r="AM263" t="s">
        <v>12</v>
      </c>
    </row>
    <row r="264" spans="1:39" x14ac:dyDescent="0.25">
      <c r="A264" s="4" t="s">
        <v>1038</v>
      </c>
      <c r="C264" s="4" t="s">
        <v>1039</v>
      </c>
      <c r="D264" s="4" t="s">
        <v>1041</v>
      </c>
      <c r="E264" t="s">
        <v>1040</v>
      </c>
      <c r="F264" t="s">
        <v>56</v>
      </c>
      <c r="I264" s="4">
        <v>1</v>
      </c>
      <c r="K264" s="10" t="s">
        <v>12</v>
      </c>
      <c r="L264" t="s">
        <v>12</v>
      </c>
      <c r="M264" s="2" t="s">
        <v>12</v>
      </c>
      <c r="N264" t="s">
        <v>12</v>
      </c>
      <c r="P264" s="10" t="s">
        <v>12</v>
      </c>
      <c r="Q264" t="s">
        <v>12</v>
      </c>
      <c r="R264" t="s">
        <v>12</v>
      </c>
      <c r="S264" t="s">
        <v>12</v>
      </c>
      <c r="U264" s="10" t="s">
        <v>12</v>
      </c>
      <c r="V264" t="s">
        <v>12</v>
      </c>
      <c r="W264" t="s">
        <v>12</v>
      </c>
      <c r="X264" t="s">
        <v>12</v>
      </c>
      <c r="Z264" s="10" t="s">
        <v>12</v>
      </c>
      <c r="AA264" t="s">
        <v>12</v>
      </c>
      <c r="AB264" t="s">
        <v>12</v>
      </c>
      <c r="AC264" t="s">
        <v>12</v>
      </c>
      <c r="AE264" s="10" t="s">
        <v>928</v>
      </c>
      <c r="AF264">
        <v>122</v>
      </c>
      <c r="AG264">
        <v>0</v>
      </c>
      <c r="AH264">
        <v>0</v>
      </c>
      <c r="AJ264" s="10" t="s">
        <v>12</v>
      </c>
      <c r="AK264" t="s">
        <v>12</v>
      </c>
      <c r="AL264" t="s">
        <v>12</v>
      </c>
      <c r="AM264" t="s">
        <v>12</v>
      </c>
    </row>
    <row r="265" spans="1:39" x14ac:dyDescent="0.25">
      <c r="A265" s="4" t="s">
        <v>1038</v>
      </c>
      <c r="C265" s="4" t="s">
        <v>1039</v>
      </c>
      <c r="D265" s="4" t="s">
        <v>1041</v>
      </c>
      <c r="E265" t="s">
        <v>1040</v>
      </c>
      <c r="F265" t="s">
        <v>31</v>
      </c>
      <c r="I265" s="4">
        <v>1</v>
      </c>
      <c r="K265" s="10" t="s">
        <v>12</v>
      </c>
      <c r="L265" t="s">
        <v>12</v>
      </c>
      <c r="M265" s="2" t="s">
        <v>12</v>
      </c>
      <c r="N265" t="s">
        <v>12</v>
      </c>
      <c r="P265" s="10" t="s">
        <v>12</v>
      </c>
      <c r="Q265" t="s">
        <v>12</v>
      </c>
      <c r="R265" t="s">
        <v>12</v>
      </c>
      <c r="S265" t="s">
        <v>12</v>
      </c>
      <c r="U265" s="10" t="s">
        <v>12</v>
      </c>
      <c r="V265" t="s">
        <v>12</v>
      </c>
      <c r="W265" t="s">
        <v>12</v>
      </c>
      <c r="X265" t="s">
        <v>12</v>
      </c>
      <c r="Z265" s="10" t="s">
        <v>12</v>
      </c>
      <c r="AA265" t="s">
        <v>12</v>
      </c>
      <c r="AB265" t="s">
        <v>12</v>
      </c>
      <c r="AC265" t="s">
        <v>12</v>
      </c>
      <c r="AE265" s="10" t="s">
        <v>934</v>
      </c>
      <c r="AF265">
        <v>2137</v>
      </c>
      <c r="AG265">
        <v>0</v>
      </c>
      <c r="AH265">
        <v>0</v>
      </c>
      <c r="AJ265" s="10" t="s">
        <v>12</v>
      </c>
      <c r="AK265" t="s">
        <v>12</v>
      </c>
      <c r="AL265" t="s">
        <v>12</v>
      </c>
      <c r="AM265" t="s">
        <v>12</v>
      </c>
    </row>
    <row r="266" spans="1:39" x14ac:dyDescent="0.25">
      <c r="AE266" s="10" t="s">
        <v>880</v>
      </c>
      <c r="AF266">
        <v>62</v>
      </c>
      <c r="AG266">
        <v>0</v>
      </c>
      <c r="AH266">
        <v>0</v>
      </c>
      <c r="AJ266" s="10" t="s">
        <v>12</v>
      </c>
      <c r="AK266" t="s">
        <v>12</v>
      </c>
      <c r="AL266" t="s">
        <v>12</v>
      </c>
      <c r="AM266" t="s">
        <v>12</v>
      </c>
    </row>
  </sheetData>
  <autoFilter ref="A1:AN266" xr:uid="{5ED511A0-497F-4496-82A1-5802E5E7FF6E}"/>
  <conditionalFormatting sqref="K7">
    <cfRule type="duplicateValues" dxfId="16" priority="19"/>
  </conditionalFormatting>
  <conditionalFormatting sqref="K22">
    <cfRule type="duplicateValues" dxfId="15" priority="18"/>
  </conditionalFormatting>
  <conditionalFormatting sqref="K33">
    <cfRule type="duplicateValues" dxfId="14" priority="17"/>
  </conditionalFormatting>
  <conditionalFormatting sqref="K67">
    <cfRule type="duplicateValues" dxfId="13" priority="15"/>
  </conditionalFormatting>
  <conditionalFormatting sqref="Z38">
    <cfRule type="duplicateValues" dxfId="12" priority="16"/>
  </conditionalFormatting>
  <conditionalFormatting sqref="K99">
    <cfRule type="duplicateValues" dxfId="11" priority="14"/>
  </conditionalFormatting>
  <conditionalFormatting sqref="Z101">
    <cfRule type="duplicateValues" dxfId="10" priority="13"/>
  </conditionalFormatting>
  <conditionalFormatting sqref="U248">
    <cfRule type="duplicateValues" dxfId="9" priority="12"/>
  </conditionalFormatting>
  <conditionalFormatting sqref="K124:K125">
    <cfRule type="duplicateValues" dxfId="8" priority="11"/>
  </conditionalFormatting>
  <conditionalFormatting sqref="K150:K154">
    <cfRule type="duplicateValues" dxfId="7" priority="10"/>
  </conditionalFormatting>
  <conditionalFormatting sqref="U168">
    <cfRule type="duplicateValues" dxfId="6" priority="9"/>
  </conditionalFormatting>
  <conditionalFormatting sqref="K179">
    <cfRule type="duplicateValues" dxfId="5" priority="8"/>
  </conditionalFormatting>
  <conditionalFormatting sqref="U196">
    <cfRule type="duplicateValues" dxfId="4" priority="7"/>
  </conditionalFormatting>
  <conditionalFormatting sqref="K197">
    <cfRule type="duplicateValues" dxfId="3" priority="6"/>
  </conditionalFormatting>
  <conditionalFormatting sqref="U224">
    <cfRule type="duplicateValues" dxfId="2" priority="4"/>
  </conditionalFormatting>
  <conditionalFormatting sqref="Z224:AA224">
    <cfRule type="duplicateValues" dxfId="1" priority="3"/>
  </conditionalFormatting>
  <conditionalFormatting sqref="Z225:AA225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Co-author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Sinclair</dc:creator>
  <cp:lastModifiedBy>James Sinclair</cp:lastModifiedBy>
  <dcterms:created xsi:type="dcterms:W3CDTF">2025-10-13T09:26:04Z</dcterms:created>
  <dcterms:modified xsi:type="dcterms:W3CDTF">2025-10-27T11:01:46Z</dcterms:modified>
</cp:coreProperties>
</file>